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1.xml" ContentType="application/vnd.ms-office.chartex+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Ex2.xml" ContentType="application/vnd.ms-office.chartex+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5.xml" ContentType="application/vnd.openxmlformats-officedocument.drawing+xml"/>
  <Override PartName="/xl/drawings/drawing1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mc:AlternateContent xmlns:mc="http://schemas.openxmlformats.org/markup-compatibility/2006">
    <mc:Choice Requires="x15">
      <x15ac:absPath xmlns:x15ac="http://schemas.microsoft.com/office/spreadsheetml/2010/11/ac" url="https://d.docs.live.net/98194abf19920efc/Desktop/Class_Vephla/"/>
    </mc:Choice>
  </mc:AlternateContent>
  <xr:revisionPtr revIDLastSave="24" documentId="13_ncr:1_{DE760157-937E-4280-B1D6-3EAE23DB49D0}" xr6:coauthVersionLast="47" xr6:coauthVersionMax="47" xr10:uidLastSave="{E6C6CBE0-CC58-4880-AC98-252674C1544F}"/>
  <bookViews>
    <workbookView xWindow="-110" yWindow="-110" windowWidth="19420" windowHeight="10300" firstSheet="15" activeTab="17" xr2:uid="{00000000-000D-0000-FFFF-FFFF00000000}"/>
  </bookViews>
  <sheets>
    <sheet name="Task" sheetId="15" r:id="rId1"/>
    <sheet name="Data (2)" sheetId="17" r:id="rId2"/>
    <sheet name="Top 5 Cities by Revenue" sheetId="27" r:id="rId3"/>
    <sheet name="Top 10 Customers" sheetId="23" r:id="rId4"/>
    <sheet name="Sales_By_Rep" sheetId="20" r:id="rId5"/>
    <sheet name="Sales_By_Regions" sheetId="22" r:id="rId6"/>
    <sheet name="Sales by Product Category" sheetId="25" r:id="rId7"/>
    <sheet name="Sales Trend Report" sheetId="24" r:id="rId8"/>
    <sheet name="Transaction By Amount" sheetId="26" r:id="rId9"/>
    <sheet name="Performance By State" sheetId="28" r:id="rId10"/>
    <sheet name="Top 6 Ship cities by Revenue" sheetId="29" r:id="rId11"/>
    <sheet name="Top Cities By Revenue" sheetId="30" r:id="rId12"/>
    <sheet name="Pre -Analysis Board" sheetId="18" r:id="rId13"/>
    <sheet name="In -Analysis Board" sheetId="21" r:id="rId14"/>
    <sheet name="Pivot Table Diagram" sheetId="4" r:id="rId15"/>
    <sheet name="Dashboard" sheetId="31" r:id="rId16"/>
    <sheet name="Post -Analysis Observation" sheetId="34" r:id="rId17"/>
    <sheet name="Post -Analysis Recommendation" sheetId="35" r:id="rId18"/>
  </sheets>
  <definedNames>
    <definedName name="_xlnm._FilterDatabase" localSheetId="1" hidden="1">'Data (2)'!$A$1:$Z$370</definedName>
    <definedName name="_xlchart.v5.0" hidden="1">'Performance By State'!$D$2</definedName>
    <definedName name="_xlchart.v5.1" hidden="1">'Performance By State'!$D$3:$D$14</definedName>
    <definedName name="_xlchart.v5.2" hidden="1">'Performance By State'!$E$2</definedName>
    <definedName name="_xlchart.v5.3" hidden="1">'Performance By State'!$E$3:$E$14</definedName>
    <definedName name="_xlchart.v5.4" hidden="1">'Performance By State'!$D$2</definedName>
    <definedName name="_xlchart.v5.5" hidden="1">'Performance By State'!$D$3:$D$14</definedName>
    <definedName name="_xlchart.v5.6" hidden="1">'Performance By State'!$E$2</definedName>
    <definedName name="_xlchart.v5.7" hidden="1">'Performance By State'!$E$3:$E$14</definedName>
    <definedName name="Slicer_Customer_Name">#N/A</definedName>
    <definedName name="Slicer_Product_Name">#N/A</definedName>
    <definedName name="Slicer_Region">#N/A</definedName>
    <definedName name="Slicer_Salesperson">#N/A</definedName>
  </definedNames>
  <calcPr calcId="191029"/>
  <pivotCaches>
    <pivotCache cacheId="27" r:id="rId19"/>
  </pivotCaches>
  <extLs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<sst xmlns="http://schemas.openxmlformats.org/spreadsheetml/2006/main" count="5919" uniqueCount="192">
  <si>
    <t>Order ID</t>
  </si>
  <si>
    <t>Order Date</t>
  </si>
  <si>
    <t>Customer ID</t>
  </si>
  <si>
    <t>Customer Name</t>
  </si>
  <si>
    <t>Address</t>
  </si>
  <si>
    <t>City</t>
  </si>
  <si>
    <t>State</t>
  </si>
  <si>
    <t>ZIP/Postal Code</t>
  </si>
  <si>
    <t>Country/Region</t>
  </si>
  <si>
    <t>Salesperson</t>
  </si>
  <si>
    <t>Region</t>
  </si>
  <si>
    <t>Shipped Date</t>
  </si>
  <si>
    <t>Shipper Name</t>
  </si>
  <si>
    <t>Ship Name</t>
  </si>
  <si>
    <t>Ship Address</t>
  </si>
  <si>
    <t>Ship City</t>
  </si>
  <si>
    <t>Ship State</t>
  </si>
  <si>
    <t>Ship ZIP/Postal Code</t>
  </si>
  <si>
    <t>Ship Country/Region</t>
  </si>
  <si>
    <t>Payment Type</t>
  </si>
  <si>
    <t>Product Name</t>
  </si>
  <si>
    <t>Category</t>
  </si>
  <si>
    <t>Unit Price</t>
  </si>
  <si>
    <t>Quantity</t>
  </si>
  <si>
    <t>Revenue</t>
  </si>
  <si>
    <t>Shipping Fee</t>
  </si>
  <si>
    <t>Company AA</t>
  </si>
  <si>
    <t>789 27th Street</t>
  </si>
  <si>
    <t>Las Vegas</t>
  </si>
  <si>
    <t>NV</t>
  </si>
  <si>
    <t>USA</t>
  </si>
  <si>
    <t>Mariya Sergienko</t>
  </si>
  <si>
    <t>West</t>
  </si>
  <si>
    <t>Shipping Company B</t>
  </si>
  <si>
    <t>Karen Toh</t>
  </si>
  <si>
    <t>Check</t>
  </si>
  <si>
    <t>Beer</t>
  </si>
  <si>
    <t>Beverages</t>
  </si>
  <si>
    <t>Dried Plums</t>
  </si>
  <si>
    <t>Dried Fruit &amp; Nuts</t>
  </si>
  <si>
    <t>Company D</t>
  </si>
  <si>
    <t>123 4th Street</t>
  </si>
  <si>
    <t>New York</t>
  </si>
  <si>
    <t>NY</t>
  </si>
  <si>
    <t>Andrew Cencini</t>
  </si>
  <si>
    <t>East</t>
  </si>
  <si>
    <t>Shipping Company A</t>
  </si>
  <si>
    <t>Christina Lee</t>
  </si>
  <si>
    <t>Credit Card</t>
  </si>
  <si>
    <t>Dried Pears</t>
  </si>
  <si>
    <t>Dried Apples</t>
  </si>
  <si>
    <t>Company L</t>
  </si>
  <si>
    <t>123 12th Street</t>
  </si>
  <si>
    <t>John Edwards</t>
  </si>
  <si>
    <t>Chai</t>
  </si>
  <si>
    <t>Coffee</t>
  </si>
  <si>
    <t>Company H</t>
  </si>
  <si>
    <t>123 8th Street</t>
  </si>
  <si>
    <t>Portland</t>
  </si>
  <si>
    <t>OR</t>
  </si>
  <si>
    <t>Nancy Freehafer</t>
  </si>
  <si>
    <t>North</t>
  </si>
  <si>
    <t>Shipping Company C</t>
  </si>
  <si>
    <t>Elizabeth Andersen</t>
  </si>
  <si>
    <t>Chocolate Biscuits Mix</t>
  </si>
  <si>
    <t>Baked Goods &amp; Mixes</t>
  </si>
  <si>
    <t>Company CC</t>
  </si>
  <si>
    <t>789 29th Street</t>
  </si>
  <si>
    <t>Denver</t>
  </si>
  <si>
    <t>CO</t>
  </si>
  <si>
    <t>Jan Kotas</t>
  </si>
  <si>
    <t>Soo Jung Lee</t>
  </si>
  <si>
    <t>Chocolate</t>
  </si>
  <si>
    <t>Candy</t>
  </si>
  <si>
    <t>Company C</t>
  </si>
  <si>
    <t>123 3rd Street</t>
  </si>
  <si>
    <t>Los Angelas</t>
  </si>
  <si>
    <t>CA</t>
  </si>
  <si>
    <t>Thomas Axerr</t>
  </si>
  <si>
    <t>Cash</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</si>
  <si>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</si>
  <si>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</si>
  <si>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</si>
  <si>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</si>
  <si>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</si>
  <si>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</si>
  <si>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</si>
  <si>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</si>
  <si>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</si>
  <si>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</si>
  <si>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</si>
  <si>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</si>
  <si>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</si>
  <si>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</si>
  <si>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</si>
  <si>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South</t>
  </si>
  <si>
    <t>Amritansh Raghav</t>
  </si>
  <si>
    <t>Company J</t>
  </si>
  <si>
    <t>123 10th Street</t>
  </si>
  <si>
    <t>Chicago</t>
  </si>
  <si>
    <t>IL</t>
  </si>
  <si>
    <t>Laura Giussani</t>
  </si>
  <si>
    <t>Roland Wacker</t>
  </si>
  <si>
    <t>Green Tea</t>
  </si>
  <si>
    <t>Company G</t>
  </si>
  <si>
    <t>123 7th Street</t>
  </si>
  <si>
    <t>Boise</t>
  </si>
  <si>
    <t>ID</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</si>
  <si>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</si>
  <si>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</si>
  <si>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</si>
  <si>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</si>
  <si>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</si>
  <si>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</si>
  <si>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</si>
  <si>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</si>
  <si>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</si>
  <si>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</si>
  <si>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</si>
  <si>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</si>
  <si>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</si>
  <si>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</si>
  <si>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</si>
  <si>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</si>
  <si>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</si>
  <si>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</si>
  <si>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</si>
  <si>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</si>
  <si>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</si>
  <si>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</si>
  <si>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</si>
  <si>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</si>
  <si>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</si>
  <si>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</si>
  <si>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</si>
  <si>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Syrup</t>
  </si>
  <si>
    <t>Almonds</t>
  </si>
  <si>
    <t>Company Y</t>
  </si>
  <si>
    <t>789 25th Street</t>
  </si>
  <si>
    <t>John Rodman</t>
  </si>
  <si>
    <t>Company Z</t>
  </si>
  <si>
    <t>789 26th Street</t>
  </si>
  <si>
    <t>Run Liu</t>
  </si>
  <si>
    <t>Fruit Cocktail</t>
  </si>
  <si>
    <t>Fruit &amp; Veg</t>
  </si>
  <si>
    <t>Gnocchi</t>
  </si>
  <si>
    <t>Scones</t>
  </si>
  <si>
    <t>Olive Oil</t>
  </si>
  <si>
    <t>Oil</t>
  </si>
  <si>
    <t>Marmalade</t>
  </si>
  <si>
    <t>Long Grain Rice</t>
  </si>
  <si>
    <t>Grains</t>
  </si>
  <si>
    <t>Source:</t>
  </si>
  <si>
    <t>Article:</t>
  </si>
  <si>
    <t>How Do Pivot Tables Work?</t>
  </si>
  <si>
    <t>http://www.excelcampus.com/pivot-tables/pivot-tables-work/</t>
  </si>
  <si>
    <t>Sales trend report</t>
  </si>
  <si>
    <t>Top 10 customers</t>
  </si>
  <si>
    <t>Sales by Rep</t>
  </si>
  <si>
    <t>Sales by Region</t>
  </si>
  <si>
    <t>Transaction by Amount.</t>
  </si>
  <si>
    <t>DATA ANALYST TASK LIST</t>
  </si>
  <si>
    <t>Analyze the sales data for 2014 and provide report for capturing the items listed below. An excellent report would aid management make strategic decisions for the coming year.</t>
  </si>
  <si>
    <t xml:space="preserve">Sales By Product category </t>
  </si>
  <si>
    <t xml:space="preserve">Top 6 ship cities by revenue </t>
  </si>
  <si>
    <t xml:space="preserve">Top 5 cities By revenue </t>
  </si>
  <si>
    <t>Sum of Revenue</t>
  </si>
  <si>
    <t>Row Labels</t>
  </si>
  <si>
    <t>Grand Total</t>
  </si>
  <si>
    <t>Count of Revenue</t>
  </si>
  <si>
    <t>Jan</t>
  </si>
  <si>
    <t>Mar</t>
  </si>
  <si>
    <t>Apr</t>
  </si>
  <si>
    <t>May</t>
  </si>
  <si>
    <t>Jun</t>
  </si>
  <si>
    <t>Jul</t>
  </si>
  <si>
    <t>Aug</t>
  </si>
  <si>
    <t>Sep</t>
  </si>
  <si>
    <t>Oct</t>
  </si>
  <si>
    <t>Nov</t>
  </si>
  <si>
    <t>Dec</t>
  </si>
  <si>
    <t>Shipping Fee Error</t>
  </si>
  <si>
    <t>0-1000</t>
  </si>
  <si>
    <t>1000-2000</t>
  </si>
  <si>
    <t>2000-3000</t>
  </si>
  <si>
    <t>3000-4000</t>
  </si>
  <si>
    <t>Revenue generated</t>
  </si>
  <si>
    <t>Feb</t>
  </si>
  <si>
    <t>7000-8000</t>
  </si>
  <si>
    <t>6000-7000</t>
  </si>
  <si>
    <t>4000-5000</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</si>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</sst>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mm/dd/yy;@"/>
    <numFmt numFmtId="166" formatCode="&quot;$&quot;#,##0.00"/>
  </numFmts>
  <fonts count="7"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2"/>
      <color theme="1"/>
      <name val="Calibri"/>
      <family val="2"/>
      <scheme val="minor"/>
    </font>
    <font>
      <sz val="16"/>
      <color theme="1"/>
      <name val="Calibri"/>
      <family val="2"/>
      <scheme val="minor"/>
    </font>
    <font>
      <sz val="11"/>
      <color theme="0"/>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rgb="FF00B050"/>
        <bgColor indexed="64"/>
      </patternFill>
    </fill>
    <fill>
      <patternFill patternType="solid">
        <fgColor rgb="FFFFFF00"/>
        <bgColor indexed="64"/>
      </patternFill>
    </fill>
    <fill>
      <patternFill patternType="solid">
        <fgColor theme="4" tint="-0.499984740745262"/>
        <bgColor indexed="64"/>
      </patternFill>
    </fill>
    <fill>
      <patternFill patternType="solid">
        <fgColor theme="8"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164" fontId="1" fillId="0" borderId="0" applyFont="0" applyFill="0" applyBorder="0" applyAlignment="0" applyProtection="0"/>
    <xf numFmtId="0" fontId="3" fillId="0" borderId="0" applyNumberFormat="0" applyFill="0" applyBorder="0" applyAlignment="0" applyProtection="0"/>
  </cellStyleXfs>
  <cellXfs count="20">
    <xf numFmtId="0" fontId="0" fillId="0" borderId="0" xfId="0"/>
    <xf numFmtId="0" fontId="2" fillId="2" borderId="0" xfId="0" applyFont="1" applyFill="1"/>
    <xf numFmtId="165" fontId="0" fillId="0" borderId="0" xfId="0" applyNumberFormat="1"/>
    <xf numFmtId="166" fontId="0" fillId="0" borderId="0" xfId="0" applyNumberFormat="1"/>
    <xf numFmtId="166" fontId="0" fillId="0" borderId="0" xfId="1" applyNumberFormat="1" applyFont="1"/>
    <xf numFmtId="0" fontId="3" fillId="0" borderId="0" xfId="2"/>
    <xf numFmtId="0" fontId="2" fillId="0" borderId="0" xfId="0" applyFont="1"/>
    <xf numFmtId="0" fontId="5" fillId="3" borderId="0" xfId="0" applyFont="1" applyFill="1"/>
    <xf numFmtId="0" fontId="5" fillId="4" borderId="1" xfId="0" applyFont="1" applyFill="1" applyBorder="1"/>
    <xf numFmtId="0" fontId="4" fillId="0" borderId="0" xfId="0" applyFont="1" applyAlignment="1">
      <alignment vertical="center" wrapText="1"/>
    </xf>
    <xf numFmtId="0" fontId="0" fillId="0" borderId="0" xfId="0" pivotButton="1"/>
    <xf numFmtId="0" fontId="0" fillId="0" borderId="0" xfId="0" applyAlignment="1">
      <alignment horizontal="left"/>
    </xf>
    <xf numFmtId="4" fontId="0" fillId="0" borderId="0" xfId="0" applyNumberFormat="1"/>
    <xf numFmtId="165" fontId="0" fillId="0" borderId="0" xfId="0" applyNumberFormat="1" applyAlignment="1">
      <alignment horizontal="left"/>
    </xf>
    <xf numFmtId="166" fontId="0" fillId="0" borderId="0" xfId="0" applyNumberFormat="1" applyAlignment="1">
      <alignment horizontal="left"/>
    </xf>
    <xf numFmtId="49" fontId="0" fillId="0" borderId="0" xfId="0" applyNumberFormat="1"/>
    <xf numFmtId="49" fontId="0" fillId="0" borderId="0" xfId="0" applyNumberFormat="1" applyAlignment="1">
      <alignment horizontal="right"/>
    </xf>
    <xf numFmtId="0" fontId="6" fillId="5" borderId="1" xfId="0" applyFont="1" applyFill="1" applyBorder="1"/>
    <xf numFmtId="0" fontId="6" fillId="0" borderId="0" xfId="0" applyFont="1"/>
    <xf numFmtId="0" fontId="0" fillId="6" borderId="0" xfId="0" applyFill="1"/>
  </cellXfs>
  <cellStyles count="3">
    <cellStyle name="Currency" xfId="1" builtinId="4"/>
    <cellStyle name="Hyperlink" xfId="2" builtinId="8"/>
    <cellStyle name="Normal" xfId="0" builtinId="0"/>
  </cellStyles>
  <dxfs count="1">
    <dxf>
      <alignment horizontal="righ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18_Shittu Isau Ajemayowa.xlsx]Top 5 Cities by Revenue!PivotTable1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Top 5</a:t>
            </a:r>
            <a:r>
              <a:rPr lang="en-US" baseline="0">
                <a:latin typeface="Garamond" panose="02020404030301010803" pitchFamily="18" charset="0"/>
              </a:rPr>
              <a:t> Cities By Revenue</a:t>
            </a:r>
            <a:r>
              <a:rPr lang="en-US">
                <a:latin typeface="Garamond" panose="02020404030301010803" pitchFamily="18" charset="0"/>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5">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50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75000"/>
            </a:schemeClr>
          </a:solidFill>
          <a:ln>
            <a:noFill/>
          </a:ln>
          <a:effectLst/>
        </c:spPr>
      </c:pivotFmt>
      <c:pivotFmt>
        <c:idx val="15"/>
        <c:spPr>
          <a:solidFill>
            <a:schemeClr val="accent5">
              <a:lumMod val="75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60000"/>
              <a:lumOff val="40000"/>
            </a:schemeClr>
          </a:solidFill>
          <a:ln>
            <a:noFill/>
          </a:ln>
          <a:effectLst/>
        </c:spPr>
      </c:pivotFmt>
      <c:pivotFmt>
        <c:idx val="18"/>
        <c:spPr>
          <a:solidFill>
            <a:schemeClr val="accent5">
              <a:lumMod val="40000"/>
              <a:lumOff val="6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5">
              <a:lumMod val="20000"/>
              <a:lumOff val="8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5">
              <a:lumMod val="50000"/>
            </a:schemeClr>
          </a:solidFill>
          <a:ln>
            <a:noFill/>
          </a:ln>
          <a:effectLst/>
        </c:spPr>
      </c:pivotFmt>
      <c:pivotFmt>
        <c:idx val="23"/>
        <c:spPr>
          <a:solidFill>
            <a:schemeClr val="accent5">
              <a:lumMod val="75000"/>
            </a:schemeClr>
          </a:solidFill>
          <a:ln>
            <a:noFill/>
          </a:ln>
          <a:effectLst/>
        </c:spPr>
      </c:pivotFmt>
      <c:pivotFmt>
        <c:idx val="24"/>
        <c:spPr>
          <a:solidFill>
            <a:schemeClr val="accent5">
              <a:lumMod val="60000"/>
              <a:lumOff val="40000"/>
            </a:schemeClr>
          </a:solidFill>
          <a:ln>
            <a:noFill/>
          </a:ln>
          <a:effectLst/>
        </c:spPr>
      </c:pivotFmt>
      <c:pivotFmt>
        <c:idx val="25"/>
        <c:spPr>
          <a:solidFill>
            <a:schemeClr val="accent5">
              <a:lumMod val="40000"/>
              <a:lumOff val="60000"/>
            </a:schemeClr>
          </a:solidFill>
          <a:ln>
            <a:noFill/>
          </a:ln>
          <a:effectLst/>
        </c:spPr>
      </c:pivotFmt>
      <c:pivotFmt>
        <c:idx val="26"/>
        <c:spPr>
          <a:solidFill>
            <a:schemeClr val="accent5">
              <a:lumMod val="20000"/>
              <a:lumOff val="80000"/>
            </a:schemeClr>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s>
    <c:plotArea>
      <c:layout/>
      <c:pieChart>
        <c:varyColors val="1"/>
        <c:ser>
          <c:idx val="0"/>
          <c:order val="0"/>
          <c:tx>
            <c:strRef>
              <c:f>'Top 5 Cities by Revenue'!$B$3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6E0-42B2-8E9A-E898B90D79A7}"/>
              </c:ext>
            </c:extLst>
          </c:dPt>
          <c:dPt>
            <c:idx val="1"/>
            <c:bubble3D val="0"/>
            <c:spPr>
              <a:solidFill>
                <a:schemeClr val="accent2"/>
              </a:solidFill>
              <a:ln>
                <a:noFill/>
              </a:ln>
              <a:effectLst/>
            </c:spPr>
            <c:extLst>
              <c:ext xmlns:c16="http://schemas.microsoft.com/office/drawing/2014/chart" uri="{C3380CC4-5D6E-409C-BE32-E72D297353CC}">
                <c16:uniqueId val="{00000003-66E0-42B2-8E9A-E898B90D79A7}"/>
              </c:ext>
            </c:extLst>
          </c:dPt>
          <c:dPt>
            <c:idx val="2"/>
            <c:bubble3D val="0"/>
            <c:spPr>
              <a:solidFill>
                <a:schemeClr val="accent3"/>
              </a:solidFill>
              <a:ln>
                <a:noFill/>
              </a:ln>
              <a:effectLst/>
            </c:spPr>
            <c:extLst>
              <c:ext xmlns:c16="http://schemas.microsoft.com/office/drawing/2014/chart" uri="{C3380CC4-5D6E-409C-BE32-E72D297353CC}">
                <c16:uniqueId val="{00000005-66E0-42B2-8E9A-E898B90D79A7}"/>
              </c:ext>
            </c:extLst>
          </c:dPt>
          <c:dPt>
            <c:idx val="3"/>
            <c:bubble3D val="0"/>
            <c:spPr>
              <a:solidFill>
                <a:schemeClr val="accent4"/>
              </a:solidFill>
              <a:ln>
                <a:noFill/>
              </a:ln>
              <a:effectLst/>
            </c:spPr>
            <c:extLst>
              <c:ext xmlns:c16="http://schemas.microsoft.com/office/drawing/2014/chart" uri="{C3380CC4-5D6E-409C-BE32-E72D297353CC}">
                <c16:uniqueId val="{00000007-66E0-42B2-8E9A-E898B90D79A7}"/>
              </c:ext>
            </c:extLst>
          </c:dPt>
          <c:dPt>
            <c:idx val="4"/>
            <c:bubble3D val="0"/>
            <c:spPr>
              <a:solidFill>
                <a:schemeClr val="accent5"/>
              </a:solidFill>
              <a:ln>
                <a:noFill/>
              </a:ln>
              <a:effectLst/>
            </c:spPr>
            <c:extLst>
              <c:ext xmlns:c16="http://schemas.microsoft.com/office/drawing/2014/chart" uri="{C3380CC4-5D6E-409C-BE32-E72D297353CC}">
                <c16:uniqueId val="{00000009-66E0-42B2-8E9A-E898B90D79A7}"/>
              </c:ext>
            </c:extLst>
          </c:dPt>
          <c:dPt>
            <c:idx val="5"/>
            <c:bubble3D val="0"/>
            <c:spPr>
              <a:solidFill>
                <a:schemeClr val="accent6"/>
              </a:solidFill>
              <a:ln>
                <a:noFill/>
              </a:ln>
              <a:effectLst/>
            </c:spPr>
            <c:extLst>
              <c:ext xmlns:c16="http://schemas.microsoft.com/office/drawing/2014/chart" uri="{C3380CC4-5D6E-409C-BE32-E72D297353CC}">
                <c16:uniqueId val="{0000000B-66E0-42B2-8E9A-E898B90D79A7}"/>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66E0-42B2-8E9A-E898B90D79A7}"/>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66E0-42B2-8E9A-E898B90D79A7}"/>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66E0-42B2-8E9A-E898B90D79A7}"/>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66E0-42B2-8E9A-E898B90D79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Cities by Revenue'!$A$4:$A$8</c:f>
              <c:strCache>
                <c:ptCount val="4"/>
                <c:pt idx="0">
                  <c:v>North</c:v>
                </c:pt>
                <c:pt idx="1">
                  <c:v>East</c:v>
                </c:pt>
                <c:pt idx="2">
                  <c:v>South</c:v>
                </c:pt>
                <c:pt idx="3">
                  <c:v>West</c:v>
                </c:pt>
              </c:strCache>
            </c:strRef>
          </c:cat>
          <c:val>
            <c:numRef>
              <c:f>'Top 5 Cities by Revenue'!$B$4:$B$8</c:f>
              <c:numCache>
                <c:formatCode>"$"#,##0.00</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14-66E0-42B2-8E9A-E898B90D79A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18_Shittu Isau Ajemayowa.xlsx]Top 10 Customers!PivotTable1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50000"/>
            </a:schemeClr>
          </a:solidFill>
          <a:ln>
            <a:noFill/>
          </a:ln>
          <a:effectLst/>
        </c:spPr>
      </c:pivotFmt>
      <c:pivotFmt>
        <c:idx val="3"/>
        <c:spPr>
          <a:solidFill>
            <a:schemeClr val="accent5">
              <a:lumMod val="50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5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5">
              <a:lumMod val="75000"/>
            </a:schemeClr>
          </a:solidFill>
          <a:ln>
            <a:noFill/>
          </a:ln>
          <a:effectLst/>
        </c:spPr>
      </c:pivotFmt>
    </c:pivotFmts>
    <c:plotArea>
      <c:layout/>
      <c:barChart>
        <c:barDir val="bar"/>
        <c:grouping val="clustered"/>
        <c:varyColors val="0"/>
        <c:ser>
          <c:idx val="0"/>
          <c:order val="0"/>
          <c:tx>
            <c:strRef>
              <c:f>'Top 10 Customers'!$B$3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2-FF4D-4714-A1FC-286984A34A67}"/>
              </c:ext>
            </c:extLst>
          </c:dPt>
          <c:dPt>
            <c:idx val="1"/>
            <c:invertIfNegative val="0"/>
            <c:bubble3D val="0"/>
            <c:spPr>
              <a:solidFill>
                <a:schemeClr val="accent5">
                  <a:lumMod val="50000"/>
                </a:schemeClr>
              </a:solidFill>
              <a:ln>
                <a:noFill/>
              </a:ln>
              <a:effectLst/>
            </c:spPr>
            <c:extLst>
              <c:ext xmlns:c16="http://schemas.microsoft.com/office/drawing/2014/chart" uri="{C3380CC4-5D6E-409C-BE32-E72D297353CC}">
                <c16:uniqueId val="{00000003-FF4D-4714-A1FC-286984A34A67}"/>
              </c:ext>
            </c:extLst>
          </c:dPt>
          <c:dPt>
            <c:idx val="2"/>
            <c:invertIfNegative val="0"/>
            <c:bubble3D val="0"/>
            <c:spPr>
              <a:solidFill>
                <a:schemeClr val="accent5">
                  <a:lumMod val="50000"/>
                </a:schemeClr>
              </a:solidFill>
              <a:ln>
                <a:noFill/>
              </a:ln>
              <a:effectLst/>
            </c:spPr>
            <c:extLst>
              <c:ext xmlns:c16="http://schemas.microsoft.com/office/drawing/2014/chart" uri="{C3380CC4-5D6E-409C-BE32-E72D297353CC}">
                <c16:uniqueId val="{00000004-FF4D-4714-A1FC-286984A34A6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5-FF4D-4714-A1FC-286984A34A67}"/>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6-FF4D-4714-A1FC-286984A34A67}"/>
              </c:ext>
            </c:extLst>
          </c:dPt>
          <c:dPt>
            <c:idx val="5"/>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FF4D-4714-A1FC-286984A34A67}"/>
              </c:ext>
            </c:extLst>
          </c:dPt>
          <c:dPt>
            <c:idx val="6"/>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8-FF4D-4714-A1FC-286984A34A67}"/>
              </c:ext>
            </c:extLst>
          </c:dPt>
          <c:dPt>
            <c:idx val="7"/>
            <c:invertIfNegative val="0"/>
            <c:bubble3D val="0"/>
            <c:spPr>
              <a:solidFill>
                <a:schemeClr val="accent5">
                  <a:lumMod val="50000"/>
                </a:schemeClr>
              </a:solidFill>
              <a:ln>
                <a:noFill/>
              </a:ln>
              <a:effectLst/>
            </c:spPr>
            <c:extLst>
              <c:ext xmlns:c16="http://schemas.microsoft.com/office/drawing/2014/chart" uri="{C3380CC4-5D6E-409C-BE32-E72D297353CC}">
                <c16:uniqueId val="{00000009-FF4D-4714-A1FC-286984A34A67}"/>
              </c:ext>
            </c:extLst>
          </c:dPt>
          <c:dPt>
            <c:idx val="8"/>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A-FF4D-4714-A1FC-286984A34A67}"/>
              </c:ext>
            </c:extLst>
          </c:dPt>
          <c:dPt>
            <c:idx val="9"/>
            <c:invertIfNegative val="0"/>
            <c:bubble3D val="0"/>
            <c:spPr>
              <a:solidFill>
                <a:schemeClr val="accent5">
                  <a:lumMod val="75000"/>
                </a:schemeClr>
              </a:solidFill>
              <a:ln>
                <a:noFill/>
              </a:ln>
              <a:effectLst/>
            </c:spPr>
            <c:extLst>
              <c:ext xmlns:c16="http://schemas.microsoft.com/office/drawing/2014/chart" uri="{C3380CC4-5D6E-409C-BE32-E72D297353CC}">
                <c16:uniqueId val="{0000000B-FF4D-4714-A1FC-286984A34A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Customers'!$A$4:$A$14</c:f>
              <c:strCache>
                <c:ptCount val="10"/>
                <c:pt idx="0">
                  <c:v>Company D</c:v>
                </c:pt>
                <c:pt idx="1">
                  <c:v>Company H</c:v>
                </c:pt>
                <c:pt idx="2">
                  <c:v>Company BB</c:v>
                </c:pt>
                <c:pt idx="3">
                  <c:v>Company F</c:v>
                </c:pt>
                <c:pt idx="4">
                  <c:v>Company A</c:v>
                </c:pt>
                <c:pt idx="5">
                  <c:v>Company I</c:v>
                </c:pt>
                <c:pt idx="6">
                  <c:v>Company J</c:v>
                </c:pt>
                <c:pt idx="7">
                  <c:v>Company Z</c:v>
                </c:pt>
                <c:pt idx="8">
                  <c:v>Company C</c:v>
                </c:pt>
                <c:pt idx="9">
                  <c:v>Company K</c:v>
                </c:pt>
              </c:strCache>
            </c:strRef>
          </c:cat>
          <c:val>
            <c:numRef>
              <c:f>'Top 10 Customers'!$B$4:$B$14</c:f>
              <c:numCache>
                <c:formatCode>"$"#,##0.00</c:formatCode>
                <c:ptCount val="10"/>
                <c:pt idx="0">
                  <c:v>67180.5</c:v>
                </c:pt>
                <c:pt idx="1">
                  <c:v>50208.35</c:v>
                </c:pt>
                <c:pt idx="2">
                  <c:v>43713</c:v>
                </c:pt>
                <c:pt idx="3">
                  <c:v>37428</c:v>
                </c:pt>
                <c:pt idx="4">
                  <c:v>36839.990000000005</c:v>
                </c:pt>
                <c:pt idx="5">
                  <c:v>32530.6</c:v>
                </c:pt>
                <c:pt idx="6">
                  <c:v>29133.009999999995</c:v>
                </c:pt>
                <c:pt idx="7">
                  <c:v>28208.250000000007</c:v>
                </c:pt>
                <c:pt idx="8">
                  <c:v>27005.38</c:v>
                </c:pt>
                <c:pt idx="9">
                  <c:v>21937.08</c:v>
                </c:pt>
              </c:numCache>
            </c:numRef>
          </c:val>
          <c:extLst>
            <c:ext xmlns:c16="http://schemas.microsoft.com/office/drawing/2014/chart" uri="{C3380CC4-5D6E-409C-BE32-E72D297353CC}">
              <c16:uniqueId val="{00000000-FF4D-4714-A1FC-286984A34A67}"/>
            </c:ext>
          </c:extLst>
        </c:ser>
        <c:dLbls>
          <c:dLblPos val="outEnd"/>
          <c:showLegendKey val="0"/>
          <c:showVal val="1"/>
          <c:showCatName val="0"/>
          <c:showSerName val="0"/>
          <c:showPercent val="0"/>
          <c:showBubbleSize val="0"/>
        </c:dLbls>
        <c:gapWidth val="20"/>
        <c:axId val="655223263"/>
        <c:axId val="655224703"/>
      </c:barChart>
      <c:catAx>
        <c:axId val="65522326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224703"/>
        <c:crosses val="autoZero"/>
        <c:auto val="1"/>
        <c:lblAlgn val="ctr"/>
        <c:lblOffset val="100"/>
        <c:noMultiLvlLbl val="0"/>
      </c:catAx>
      <c:valAx>
        <c:axId val="655224703"/>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65522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18_Shittu Isau Ajemayowa.xlsx]Sales_By_Rep!PivotTable1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latin typeface="Garamond" panose="02020404030301010803" pitchFamily="18" charset="0"/>
              </a:rPr>
              <a:t>Sales Performance</a:t>
            </a:r>
            <a:r>
              <a:rPr lang="en-US" sz="1400" baseline="0">
                <a:latin typeface="Garamond" panose="02020404030301010803" pitchFamily="18" charset="0"/>
              </a:rPr>
              <a:t> Analysis by Reps</a:t>
            </a:r>
            <a:endParaRPr lang="en-US" sz="1400">
              <a:latin typeface="Garamond" panose="02020404030301010803" pitchFamily="18" charset="0"/>
            </a:endParaRPr>
          </a:p>
        </c:rich>
      </c:tx>
      <c:overlay val="0"/>
      <c:spPr>
        <a:noFill/>
        <a:ln>
          <a:solidFill>
            <a:schemeClr val="bg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a:noFill/>
          </a:ln>
          <a:effectLst/>
        </c:spPr>
      </c:pivotFmt>
      <c:pivotFmt>
        <c:idx val="2"/>
        <c:spPr>
          <a:solidFill>
            <a:schemeClr val="accent5">
              <a:lumMod val="20000"/>
              <a:lumOff val="80000"/>
            </a:schemeClr>
          </a:solidFill>
          <a:ln>
            <a:noFill/>
          </a:ln>
          <a:effectLst/>
        </c:spPr>
      </c:pivotFmt>
      <c:pivotFmt>
        <c:idx val="3"/>
        <c:spPr>
          <a:solidFill>
            <a:schemeClr val="accent5">
              <a:lumMod val="20000"/>
              <a:lumOff val="80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75000"/>
            </a:schemeClr>
          </a:solidFill>
          <a:ln>
            <a:noFill/>
          </a:ln>
          <a:effectLst/>
        </c:spPr>
      </c:pivotFmt>
      <c:pivotFmt>
        <c:idx val="6"/>
        <c:spPr>
          <a:solidFill>
            <a:schemeClr val="accent5">
              <a:lumMod val="75000"/>
            </a:schemeClr>
          </a:solidFill>
          <a:ln>
            <a:noFill/>
          </a:ln>
          <a:effectLst/>
        </c:spPr>
      </c:pivotFmt>
      <c:pivotFmt>
        <c:idx val="7"/>
        <c:spPr>
          <a:solidFill>
            <a:schemeClr val="accent5">
              <a:lumMod val="75000"/>
            </a:schemeClr>
          </a:solidFill>
          <a:ln>
            <a:noFill/>
          </a:ln>
          <a:effectLst/>
        </c:spPr>
      </c:pivotFmt>
      <c:pivotFmt>
        <c:idx val="8"/>
        <c:spPr>
          <a:solidFill>
            <a:schemeClr val="accent5">
              <a:lumMod val="75000"/>
            </a:schemeClr>
          </a:solidFill>
          <a:ln>
            <a:noFill/>
          </a:ln>
          <a:effectLst/>
        </c:spPr>
      </c:pivotFmt>
    </c:pivotFmts>
    <c:plotArea>
      <c:layout>
        <c:manualLayout>
          <c:layoutTarget val="inner"/>
          <c:xMode val="edge"/>
          <c:yMode val="edge"/>
          <c:x val="0.19082347550157294"/>
          <c:y val="0.17771057831776799"/>
          <c:w val="0.76513031673168463"/>
          <c:h val="0.82228942168223207"/>
        </c:manualLayout>
      </c:layout>
      <c:barChart>
        <c:barDir val="bar"/>
        <c:grouping val="clustered"/>
        <c:varyColors val="0"/>
        <c:ser>
          <c:idx val="0"/>
          <c:order val="0"/>
          <c:tx>
            <c:strRef>
              <c:f>Sales_By_Rep!$B$3</c:f>
              <c:strCache>
                <c:ptCount val="1"/>
                <c:pt idx="0">
                  <c:v>Total</c:v>
                </c:pt>
              </c:strCache>
            </c:strRef>
          </c:tx>
          <c:spPr>
            <a:solidFill>
              <a:schemeClr val="accent5">
                <a:lumMod val="75000"/>
              </a:schemeClr>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3-6C08-4E4C-8485-91826078A8FF}"/>
              </c:ext>
            </c:extLst>
          </c:dPt>
          <c:dPt>
            <c:idx val="1"/>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2-61DB-4E11-8EB0-C5DBFCFD22E7}"/>
              </c:ext>
            </c:extLst>
          </c:dPt>
          <c:dPt>
            <c:idx val="2"/>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4-61DB-4E11-8EB0-C5DBFCFD22E7}"/>
              </c:ext>
            </c:extLst>
          </c:dPt>
          <c:dPt>
            <c:idx val="3"/>
            <c:invertIfNegative val="0"/>
            <c:bubble3D val="0"/>
            <c:extLst>
              <c:ext xmlns:c16="http://schemas.microsoft.com/office/drawing/2014/chart" uri="{C3380CC4-5D6E-409C-BE32-E72D297353CC}">
                <c16:uniqueId val="{00000006-6C08-4E4C-8485-91826078A8FF}"/>
              </c:ext>
            </c:extLst>
          </c:dPt>
          <c:dPt>
            <c:idx val="4"/>
            <c:invertIfNegative val="0"/>
            <c:bubble3D val="0"/>
            <c:extLst>
              <c:ext xmlns:c16="http://schemas.microsoft.com/office/drawing/2014/chart" uri="{C3380CC4-5D6E-409C-BE32-E72D297353CC}">
                <c16:uniqueId val="{00000007-6C08-4E4C-8485-91826078A8FF}"/>
              </c:ext>
            </c:extLst>
          </c:dPt>
          <c:dPt>
            <c:idx val="5"/>
            <c:invertIfNegative val="0"/>
            <c:bubble3D val="0"/>
            <c:extLst>
              <c:ext xmlns:c16="http://schemas.microsoft.com/office/drawing/2014/chart" uri="{C3380CC4-5D6E-409C-BE32-E72D297353CC}">
                <c16:uniqueId val="{00000008-6C08-4E4C-8485-91826078A8FF}"/>
              </c:ext>
            </c:extLst>
          </c:dPt>
          <c:dPt>
            <c:idx val="6"/>
            <c:invertIfNegative val="0"/>
            <c:bubble3D val="0"/>
            <c:extLst>
              <c:ext xmlns:c16="http://schemas.microsoft.com/office/drawing/2014/chart" uri="{C3380CC4-5D6E-409C-BE32-E72D297353CC}">
                <c16:uniqueId val="{00000009-6C08-4E4C-8485-91826078A8FF}"/>
              </c:ext>
            </c:extLst>
          </c:dPt>
          <c:dPt>
            <c:idx val="7"/>
            <c:invertIfNegative val="0"/>
            <c:bubble3D val="0"/>
            <c:extLst>
              <c:ext xmlns:c16="http://schemas.microsoft.com/office/drawing/2014/chart" uri="{C3380CC4-5D6E-409C-BE32-E72D297353CC}">
                <c16:uniqueId val="{0000000A-6C08-4E4C-8485-91826078A8FF}"/>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Sales_By_Rep!$A$4:$A$12</c:f>
              <c:strCache>
                <c:ptCount val="8"/>
                <c:pt idx="0">
                  <c:v>Nancy Freehafer</c:v>
                </c:pt>
                <c:pt idx="1">
                  <c:v>Anne Larsen</c:v>
                </c:pt>
                <c:pt idx="2">
                  <c:v>Andrew Cencini</c:v>
                </c:pt>
                <c:pt idx="3">
                  <c:v>Mariya Sergienko</c:v>
                </c:pt>
                <c:pt idx="4">
                  <c:v>Laura Giussani</c:v>
                </c:pt>
                <c:pt idx="5">
                  <c:v>Michael Neipper</c:v>
                </c:pt>
                <c:pt idx="6">
                  <c:v>Robert Zare</c:v>
                </c:pt>
                <c:pt idx="7">
                  <c:v>Jan Kotas</c:v>
                </c:pt>
              </c:strCache>
            </c:strRef>
          </c:cat>
          <c:val>
            <c:numRef>
              <c:f>Sales_By_Rep!$B$4:$B$12</c:f>
              <c:numCache>
                <c:formatCode>"$"#,##0.00</c:formatCode>
                <c:ptCount val="8"/>
                <c:pt idx="0">
                  <c:v>104252.33999999997</c:v>
                </c:pt>
                <c:pt idx="1">
                  <c:v>93858.329999999987</c:v>
                </c:pt>
                <c:pt idx="2">
                  <c:v>67180.5</c:v>
                </c:pt>
                <c:pt idx="3">
                  <c:v>42370.880000000005</c:v>
                </c:pt>
                <c:pt idx="4">
                  <c:v>41095.01</c:v>
                </c:pt>
                <c:pt idx="5">
                  <c:v>37428</c:v>
                </c:pt>
                <c:pt idx="6">
                  <c:v>32530.6</c:v>
                </c:pt>
                <c:pt idx="7">
                  <c:v>16350.5</c:v>
                </c:pt>
              </c:numCache>
            </c:numRef>
          </c:val>
          <c:extLst>
            <c:ext xmlns:c16="http://schemas.microsoft.com/office/drawing/2014/chart" uri="{C3380CC4-5D6E-409C-BE32-E72D297353CC}">
              <c16:uniqueId val="{00000000-6C08-4E4C-8485-91826078A8FF}"/>
            </c:ext>
          </c:extLst>
        </c:ser>
        <c:dLbls>
          <c:dLblPos val="outEnd"/>
          <c:showLegendKey val="0"/>
          <c:showVal val="1"/>
          <c:showCatName val="0"/>
          <c:showSerName val="0"/>
          <c:showPercent val="0"/>
          <c:showBubbleSize val="0"/>
        </c:dLbls>
        <c:gapWidth val="20"/>
        <c:axId val="174273631"/>
        <c:axId val="174274111"/>
      </c:barChart>
      <c:catAx>
        <c:axId val="17427363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174274111"/>
        <c:crosses val="autoZero"/>
        <c:auto val="1"/>
        <c:lblAlgn val="ctr"/>
        <c:lblOffset val="100"/>
        <c:noMultiLvlLbl val="0"/>
      </c:catAx>
      <c:valAx>
        <c:axId val="174274111"/>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17427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18_Shittu Isau Ajemayowa.xlsx]Sales_By_Regions!PivotTable1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Sales by</a:t>
            </a:r>
            <a:r>
              <a:rPr lang="en-US" baseline="0">
                <a:latin typeface="Garamond" panose="02020404030301010803" pitchFamily="18" charset="0"/>
              </a:rPr>
              <a:t>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w="19050">
            <a:solidFill>
              <a:schemeClr val="lt1"/>
            </a:solidFill>
          </a:ln>
          <a:effectLst/>
        </c:spPr>
      </c:pivotFmt>
      <c:pivotFmt>
        <c:idx val="2"/>
        <c:spPr>
          <a:solidFill>
            <a:schemeClr val="accent5">
              <a:lumMod val="50000"/>
            </a:schemeClr>
          </a:solidFill>
          <a:ln w="19050">
            <a:solidFill>
              <a:schemeClr val="lt1"/>
            </a:solidFill>
          </a:ln>
          <a:effectLst/>
        </c:spPr>
      </c:pivotFmt>
      <c:pivotFmt>
        <c:idx val="3"/>
        <c:spPr>
          <a:solidFill>
            <a:schemeClr val="accent5">
              <a:lumMod val="40000"/>
              <a:lumOff val="60000"/>
            </a:schemeClr>
          </a:solidFill>
          <a:ln w="19050">
            <a:solidFill>
              <a:schemeClr val="lt1"/>
            </a:solidFill>
          </a:ln>
          <a:effectLst/>
        </c:spPr>
      </c:pivotFmt>
      <c:pivotFmt>
        <c:idx val="4"/>
        <c:spPr>
          <a:solidFill>
            <a:schemeClr val="accent5">
              <a:lumMod val="50000"/>
            </a:schemeClr>
          </a:solidFill>
          <a:ln w="19050">
            <a:solidFill>
              <a:schemeClr val="lt1"/>
            </a:solidFill>
          </a:ln>
          <a:effectLst/>
        </c:spPr>
      </c:pivotFmt>
    </c:pivotFmts>
    <c:plotArea>
      <c:layout/>
      <c:pieChart>
        <c:varyColors val="1"/>
        <c:ser>
          <c:idx val="0"/>
          <c:order val="0"/>
          <c:tx>
            <c:strRef>
              <c:f>Sales_By_Regions!$B$3</c:f>
              <c:strCache>
                <c:ptCount val="1"/>
                <c:pt idx="0">
                  <c:v>Total</c:v>
                </c:pt>
              </c:strCache>
            </c:strRef>
          </c:tx>
          <c:spPr>
            <a:solidFill>
              <a:schemeClr val="accent5">
                <a:lumMod val="50000"/>
              </a:schemeClr>
            </a:solidFill>
          </c:spPr>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E822-40C1-ABF8-381306BD3FAC}"/>
              </c:ext>
            </c:extLst>
          </c:dPt>
          <c:dPt>
            <c:idx val="1"/>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2-460A-4BF9-84A8-BFF48D64832A}"/>
              </c:ext>
            </c:extLst>
          </c:dPt>
          <c:dPt>
            <c:idx val="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3-460A-4BF9-84A8-BFF48D64832A}"/>
              </c:ext>
            </c:extLst>
          </c:dPt>
          <c:dPt>
            <c:idx val="3"/>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4-460A-4BF9-84A8-BFF48D6483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Sales_By_Regions!$A$4:$A$8</c:f>
              <c:strCache>
                <c:ptCount val="4"/>
                <c:pt idx="0">
                  <c:v>North</c:v>
                </c:pt>
                <c:pt idx="1">
                  <c:v>East</c:v>
                </c:pt>
                <c:pt idx="2">
                  <c:v>South</c:v>
                </c:pt>
                <c:pt idx="3">
                  <c:v>West</c:v>
                </c:pt>
              </c:strCache>
            </c:strRef>
          </c:cat>
          <c:val>
            <c:numRef>
              <c:f>Sales_By_Regions!$B$4:$B$8</c:f>
              <c:numCache>
                <c:formatCode>"$"#,##0.00</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00-460A-4BF9-84A8-BFF48D64832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18_Shittu Isau Ajemayowa.xlsx]Sales by Product Category!PivotTable1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50000"/>
            </a:schemeClr>
          </a:solidFill>
          <a:ln>
            <a:noFill/>
          </a:ln>
          <a:effectLst/>
        </c:spPr>
      </c:pivotFmt>
      <c:pivotFmt>
        <c:idx val="3"/>
        <c:spPr>
          <a:solidFill>
            <a:schemeClr val="accent5">
              <a:lumMod val="50000"/>
            </a:schemeClr>
          </a:solidFill>
          <a:ln>
            <a:noFill/>
          </a:ln>
          <a:effectLst/>
        </c:spPr>
      </c:pivotFmt>
      <c:pivotFmt>
        <c:idx val="4"/>
        <c:spPr>
          <a:solidFill>
            <a:schemeClr val="accent5">
              <a:lumMod val="50000"/>
            </a:schemeClr>
          </a:solidFill>
          <a:ln>
            <a:noFill/>
          </a:ln>
          <a:effectLst/>
        </c:spPr>
      </c:pivotFmt>
      <c:pivotFmt>
        <c:idx val="5"/>
        <c:spPr>
          <a:solidFill>
            <a:schemeClr val="accent5">
              <a:lumMod val="50000"/>
            </a:schemeClr>
          </a:solidFill>
          <a:ln>
            <a:noFill/>
          </a:ln>
          <a:effectLst/>
        </c:spPr>
      </c:pivotFmt>
      <c:pivotFmt>
        <c:idx val="6"/>
      </c:pivotFmt>
      <c:pivotFmt>
        <c:idx val="7"/>
      </c:pivotFmt>
      <c:pivotFmt>
        <c:idx val="8"/>
      </c:pivotFmt>
    </c:pivotFmts>
    <c:plotArea>
      <c:layout/>
      <c:barChart>
        <c:barDir val="bar"/>
        <c:grouping val="clustered"/>
        <c:varyColors val="0"/>
        <c:ser>
          <c:idx val="0"/>
          <c:order val="0"/>
          <c:tx>
            <c:strRef>
              <c:f>'Sales by Product Category'!$B$3</c:f>
              <c:strCache>
                <c:ptCount val="1"/>
                <c:pt idx="0">
                  <c:v>Total</c:v>
                </c:pt>
              </c:strCache>
            </c:strRef>
          </c:tx>
          <c:spPr>
            <a:solidFill>
              <a:schemeClr val="accent5">
                <a:lumMod val="50000"/>
              </a:schemeClr>
            </a:solidFill>
            <a:ln>
              <a:noFill/>
            </a:ln>
            <a:effectLst/>
          </c:spPr>
          <c:invertIfNegative val="0"/>
          <c:dPt>
            <c:idx val="1"/>
            <c:invertIfNegative val="0"/>
            <c:bubble3D val="0"/>
            <c:extLst>
              <c:ext xmlns:c16="http://schemas.microsoft.com/office/drawing/2014/chart" uri="{C3380CC4-5D6E-409C-BE32-E72D297353CC}">
                <c16:uniqueId val="{00000002-7F21-4C8C-9058-2105CA514BDF}"/>
              </c:ext>
            </c:extLst>
          </c:dPt>
          <c:dPt>
            <c:idx val="2"/>
            <c:invertIfNegative val="0"/>
            <c:bubble3D val="0"/>
            <c:spPr>
              <a:solidFill>
                <a:schemeClr val="accent5">
                  <a:lumMod val="50000"/>
                </a:schemeClr>
              </a:solidFill>
              <a:ln>
                <a:noFill/>
              </a:ln>
              <a:effectLst/>
            </c:spPr>
            <c:extLst>
              <c:ext xmlns:c16="http://schemas.microsoft.com/office/drawing/2014/chart" uri="{C3380CC4-5D6E-409C-BE32-E72D297353CC}">
                <c16:uniqueId val="{00000003-7F21-4C8C-9058-2105CA514BDF}"/>
              </c:ext>
            </c:extLst>
          </c:dPt>
          <c:dPt>
            <c:idx val="3"/>
            <c:invertIfNegative val="0"/>
            <c:bubble3D val="0"/>
            <c:spPr>
              <a:solidFill>
                <a:schemeClr val="accent5">
                  <a:lumMod val="50000"/>
                </a:schemeClr>
              </a:solidFill>
              <a:ln>
                <a:noFill/>
              </a:ln>
              <a:effectLst/>
            </c:spPr>
            <c:extLst>
              <c:ext xmlns:c16="http://schemas.microsoft.com/office/drawing/2014/chart" uri="{C3380CC4-5D6E-409C-BE32-E72D297353CC}">
                <c16:uniqueId val="{00000004-7F21-4C8C-9058-2105CA514BDF}"/>
              </c:ext>
            </c:extLst>
          </c:dPt>
          <c:dPt>
            <c:idx val="4"/>
            <c:invertIfNegative val="0"/>
            <c:bubble3D val="0"/>
            <c:extLst>
              <c:ext xmlns:c16="http://schemas.microsoft.com/office/drawing/2014/chart" uri="{C3380CC4-5D6E-409C-BE32-E72D297353CC}">
                <c16:uniqueId val="{00000005-7F21-4C8C-9058-2105CA514BDF}"/>
              </c:ext>
            </c:extLst>
          </c:dPt>
          <c:dPt>
            <c:idx val="5"/>
            <c:invertIfNegative val="0"/>
            <c:bubble3D val="0"/>
            <c:extLst>
              <c:ext xmlns:c16="http://schemas.microsoft.com/office/drawing/2014/chart" uri="{C3380CC4-5D6E-409C-BE32-E72D297353CC}">
                <c16:uniqueId val="{00000006-7F21-4C8C-9058-2105CA514B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Category'!$A$4:$A$10</c:f>
              <c:strCache>
                <c:ptCount val="6"/>
                <c:pt idx="0">
                  <c:v>Beverages</c:v>
                </c:pt>
                <c:pt idx="1">
                  <c:v>Sauces</c:v>
                </c:pt>
                <c:pt idx="2">
                  <c:v>Jams, Preserves</c:v>
                </c:pt>
                <c:pt idx="3">
                  <c:v>Dairy Products</c:v>
                </c:pt>
                <c:pt idx="4">
                  <c:v>Dried Fruit &amp; Nuts</c:v>
                </c:pt>
                <c:pt idx="5">
                  <c:v>Canned Meat</c:v>
                </c:pt>
              </c:strCache>
            </c:strRef>
          </c:cat>
          <c:val>
            <c:numRef>
              <c:f>'Sales by Product Category'!$B$4:$B$10</c:f>
              <c:numCache>
                <c:formatCode>"$"#,##0.00</c:formatCode>
                <c:ptCount val="6"/>
                <c:pt idx="0">
                  <c:v>110577.10999999999</c:v>
                </c:pt>
                <c:pt idx="1">
                  <c:v>69000</c:v>
                </c:pt>
                <c:pt idx="2">
                  <c:v>51541</c:v>
                </c:pt>
                <c:pt idx="3">
                  <c:v>33129.600000000006</c:v>
                </c:pt>
                <c:pt idx="4">
                  <c:v>27999.5</c:v>
                </c:pt>
                <c:pt idx="5">
                  <c:v>25465.599999999999</c:v>
                </c:pt>
              </c:numCache>
            </c:numRef>
          </c:val>
          <c:extLst>
            <c:ext xmlns:c16="http://schemas.microsoft.com/office/drawing/2014/chart" uri="{C3380CC4-5D6E-409C-BE32-E72D297353CC}">
              <c16:uniqueId val="{00000000-7F21-4C8C-9058-2105CA514BDF}"/>
            </c:ext>
          </c:extLst>
        </c:ser>
        <c:dLbls>
          <c:dLblPos val="outEnd"/>
          <c:showLegendKey val="0"/>
          <c:showVal val="1"/>
          <c:showCatName val="0"/>
          <c:showSerName val="0"/>
          <c:showPercent val="0"/>
          <c:showBubbleSize val="0"/>
        </c:dLbls>
        <c:gapWidth val="20"/>
        <c:axId val="1429293824"/>
        <c:axId val="1429290912"/>
      </c:barChart>
      <c:catAx>
        <c:axId val="142929382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290912"/>
        <c:crosses val="autoZero"/>
        <c:auto val="1"/>
        <c:lblAlgn val="ctr"/>
        <c:lblOffset val="100"/>
        <c:noMultiLvlLbl val="0"/>
      </c:catAx>
      <c:valAx>
        <c:axId val="1429290912"/>
        <c:scaling>
          <c:orientation val="minMax"/>
        </c:scaling>
        <c:delete val="1"/>
        <c:axPos val="t"/>
        <c:numFmt formatCode="&quot;$&quot;#,##0.00" sourceLinked="1"/>
        <c:majorTickMark val="none"/>
        <c:minorTickMark val="none"/>
        <c:tickLblPos val="nextTo"/>
        <c:crossAx val="1429293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18_Shittu Isau Ajemayowa.xlsx]Sales Trend Report!PivotTable1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Trends</a:t>
            </a:r>
            <a:r>
              <a:rPr lang="en-US" baseline="0"/>
              <a:t> Reports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111912644332125E-2"/>
          <c:y val="0.17805788858175634"/>
          <c:w val="0.95977617471133569"/>
          <c:h val="0.73223243562339824"/>
        </c:manualLayout>
      </c:layout>
      <c:lineChart>
        <c:grouping val="standard"/>
        <c:varyColors val="0"/>
        <c:ser>
          <c:idx val="0"/>
          <c:order val="0"/>
          <c:tx>
            <c:strRef>
              <c:f>'Sales Trend Report'!$B$3</c:f>
              <c:strCache>
                <c:ptCount val="1"/>
                <c:pt idx="0">
                  <c:v>Total</c:v>
                </c:pt>
              </c:strCache>
            </c:strRef>
          </c:tx>
          <c:spPr>
            <a:ln w="28575" cap="rnd">
              <a:solidFill>
                <a:schemeClr val="accent5">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Dec</c:v>
                </c:pt>
                <c:pt idx="1">
                  <c:v>Nov</c:v>
                </c:pt>
                <c:pt idx="2">
                  <c:v>Oct</c:v>
                </c:pt>
                <c:pt idx="3">
                  <c:v>Sep</c:v>
                </c:pt>
                <c:pt idx="4">
                  <c:v>Aug</c:v>
                </c:pt>
                <c:pt idx="5">
                  <c:v>Jul</c:v>
                </c:pt>
                <c:pt idx="6">
                  <c:v>Jun</c:v>
                </c:pt>
                <c:pt idx="7">
                  <c:v>May</c:v>
                </c:pt>
                <c:pt idx="8">
                  <c:v>Apr</c:v>
                </c:pt>
                <c:pt idx="9">
                  <c:v>Mar</c:v>
                </c:pt>
                <c:pt idx="10">
                  <c:v>Feb</c:v>
                </c:pt>
                <c:pt idx="11">
                  <c:v>Jan</c:v>
                </c:pt>
              </c:strCache>
            </c:strRef>
          </c:cat>
          <c:val>
            <c:numRef>
              <c:f>'Sales Trend Report'!$B$4:$B$16</c:f>
              <c:numCache>
                <c:formatCode>"$"#,##0.00</c:formatCode>
                <c:ptCount val="12"/>
                <c:pt idx="0">
                  <c:v>66642.78</c:v>
                </c:pt>
                <c:pt idx="1">
                  <c:v>31773.429999999997</c:v>
                </c:pt>
                <c:pt idx="2">
                  <c:v>53033.59</c:v>
                </c:pt>
                <c:pt idx="3">
                  <c:v>31949.97</c:v>
                </c:pt>
                <c:pt idx="4">
                  <c:v>29921.459999999995</c:v>
                </c:pt>
                <c:pt idx="5">
                  <c:v>27318.539999999997</c:v>
                </c:pt>
                <c:pt idx="6">
                  <c:v>55601.61</c:v>
                </c:pt>
                <c:pt idx="7">
                  <c:v>34307.049999999996</c:v>
                </c:pt>
                <c:pt idx="8">
                  <c:v>20771.789999999997</c:v>
                </c:pt>
                <c:pt idx="9">
                  <c:v>30852.6</c:v>
                </c:pt>
                <c:pt idx="10">
                  <c:v>19985.5</c:v>
                </c:pt>
                <c:pt idx="11">
                  <c:v>32907.839999999997</c:v>
                </c:pt>
              </c:numCache>
            </c:numRef>
          </c:val>
          <c:smooth val="0"/>
          <c:extLst>
            <c:ext xmlns:c16="http://schemas.microsoft.com/office/drawing/2014/chart" uri="{C3380CC4-5D6E-409C-BE32-E72D297353CC}">
              <c16:uniqueId val="{00000000-AC78-47FC-B001-5C15A38A5875}"/>
            </c:ext>
          </c:extLst>
        </c:ser>
        <c:dLbls>
          <c:dLblPos val="r"/>
          <c:showLegendKey val="0"/>
          <c:showVal val="1"/>
          <c:showCatName val="0"/>
          <c:showSerName val="0"/>
          <c:showPercent val="0"/>
          <c:showBubbleSize val="0"/>
        </c:dLbls>
        <c:smooth val="0"/>
        <c:axId val="1426646896"/>
        <c:axId val="1426647728"/>
      </c:lineChart>
      <c:catAx>
        <c:axId val="1426646896"/>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647728"/>
        <c:crosses val="autoZero"/>
        <c:auto val="1"/>
        <c:lblAlgn val="ctr"/>
        <c:lblOffset val="100"/>
        <c:noMultiLvlLbl val="0"/>
      </c:catAx>
      <c:valAx>
        <c:axId val="1426647728"/>
        <c:scaling>
          <c:orientation val="minMax"/>
        </c:scaling>
        <c:delete val="1"/>
        <c:axPos val="r"/>
        <c:majorGridlines>
          <c:spPr>
            <a:ln w="9525" cap="flat" cmpd="sng" algn="ctr">
              <a:noFill/>
              <a:round/>
            </a:ln>
            <a:effectLst/>
          </c:spPr>
        </c:majorGridlines>
        <c:numFmt formatCode="&quot;$&quot;#,##0.00" sourceLinked="1"/>
        <c:majorTickMark val="out"/>
        <c:minorTickMark val="none"/>
        <c:tickLblPos val="nextTo"/>
        <c:crossAx val="142664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18_Shittu Isau Ajemayowa.xlsx]Transaction By Amount!PivotTable1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pivotFmt>
      <c:pivotFmt>
        <c:idx val="3"/>
        <c:spPr>
          <a:solidFill>
            <a:schemeClr val="accent5">
              <a:lumMod val="5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5">
              <a:lumMod val="75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75000"/>
            </a:schemeClr>
          </a:solidFill>
          <a:ln>
            <a:noFill/>
          </a:ln>
          <a:effectLst/>
        </c:spPr>
      </c:pivotFmt>
    </c:pivotFmts>
    <c:plotArea>
      <c:layout/>
      <c:barChart>
        <c:barDir val="col"/>
        <c:grouping val="clustered"/>
        <c:varyColors val="0"/>
        <c:ser>
          <c:idx val="0"/>
          <c:order val="0"/>
          <c:tx>
            <c:strRef>
              <c:f>'Transaction By Amount'!$B$3</c:f>
              <c:strCache>
                <c:ptCount val="1"/>
                <c:pt idx="0">
                  <c:v>Total</c:v>
                </c:pt>
              </c:strCache>
            </c:strRef>
          </c:tx>
          <c:spPr>
            <a:solidFill>
              <a:schemeClr val="accent5">
                <a:lumMod val="50000"/>
              </a:schemeClr>
            </a:solidFill>
            <a:ln>
              <a:noFill/>
            </a:ln>
            <a:effectLst/>
          </c:spPr>
          <c:invertIfNegative val="0"/>
          <c:dPt>
            <c:idx val="0"/>
            <c:invertIfNegative val="0"/>
            <c:bubble3D val="0"/>
            <c:spPr>
              <a:solidFill>
                <a:schemeClr val="accent5">
                  <a:lumMod val="75000"/>
                </a:schemeClr>
              </a:solidFill>
              <a:ln>
                <a:noFill/>
              </a:ln>
              <a:effectLst/>
            </c:spPr>
            <c:extLst>
              <c:ext xmlns:c16="http://schemas.microsoft.com/office/drawing/2014/chart" uri="{C3380CC4-5D6E-409C-BE32-E72D297353CC}">
                <c16:uniqueId val="{00000007-1FAB-4D44-B557-19700EDA7217}"/>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2-1FAB-4D44-B557-19700EDA7217}"/>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3-1FAB-4D44-B557-19700EDA7217}"/>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4-1FAB-4D44-B557-19700EDA7217}"/>
              </c:ext>
            </c:extLst>
          </c:dPt>
          <c:dPt>
            <c:idx val="4"/>
            <c:invertIfNegative val="0"/>
            <c:bubble3D val="0"/>
            <c:extLst>
              <c:ext xmlns:c16="http://schemas.microsoft.com/office/drawing/2014/chart" uri="{C3380CC4-5D6E-409C-BE32-E72D297353CC}">
                <c16:uniqueId val="{00000005-1FAB-4D44-B557-19700EDA7217}"/>
              </c:ext>
            </c:extLst>
          </c:dPt>
          <c:dPt>
            <c:idx val="5"/>
            <c:invertIfNegative val="0"/>
            <c:bubble3D val="0"/>
            <c:extLst>
              <c:ext xmlns:c16="http://schemas.microsoft.com/office/drawing/2014/chart" uri="{C3380CC4-5D6E-409C-BE32-E72D297353CC}">
                <c16:uniqueId val="{00000006-1FAB-4D44-B557-19700EDA72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 By Amount'!$A$4:$A$11</c:f>
              <c:strCache>
                <c:ptCount val="7"/>
                <c:pt idx="0">
                  <c:v>7000-8000</c:v>
                </c:pt>
                <c:pt idx="1">
                  <c:v>6000-7000</c:v>
                </c:pt>
                <c:pt idx="2">
                  <c:v>4000-5000</c:v>
                </c:pt>
                <c:pt idx="3">
                  <c:v>3000-4000</c:v>
                </c:pt>
                <c:pt idx="4">
                  <c:v>2000-3000</c:v>
                </c:pt>
                <c:pt idx="5">
                  <c:v>1000-2000</c:v>
                </c:pt>
                <c:pt idx="6">
                  <c:v>0-1000</c:v>
                </c:pt>
              </c:strCache>
            </c:strRef>
          </c:cat>
          <c:val>
            <c:numRef>
              <c:f>'Transaction By Amount'!$B$4:$B$11</c:f>
              <c:numCache>
                <c:formatCode>@</c:formatCode>
                <c:ptCount val="7"/>
                <c:pt idx="0">
                  <c:v>1</c:v>
                </c:pt>
                <c:pt idx="1">
                  <c:v>2</c:v>
                </c:pt>
                <c:pt idx="2">
                  <c:v>8</c:v>
                </c:pt>
                <c:pt idx="3">
                  <c:v>24</c:v>
                </c:pt>
                <c:pt idx="4">
                  <c:v>31</c:v>
                </c:pt>
                <c:pt idx="5">
                  <c:v>85</c:v>
                </c:pt>
                <c:pt idx="6">
                  <c:v>218</c:v>
                </c:pt>
              </c:numCache>
            </c:numRef>
          </c:val>
          <c:extLst>
            <c:ext xmlns:c16="http://schemas.microsoft.com/office/drawing/2014/chart" uri="{C3380CC4-5D6E-409C-BE32-E72D297353CC}">
              <c16:uniqueId val="{00000000-1FAB-4D44-B557-19700EDA7217}"/>
            </c:ext>
          </c:extLst>
        </c:ser>
        <c:dLbls>
          <c:dLblPos val="outEnd"/>
          <c:showLegendKey val="0"/>
          <c:showVal val="1"/>
          <c:showCatName val="0"/>
          <c:showSerName val="0"/>
          <c:showPercent val="0"/>
          <c:showBubbleSize val="0"/>
        </c:dLbls>
        <c:gapWidth val="20"/>
        <c:axId val="1429293824"/>
        <c:axId val="1429290912"/>
      </c:barChart>
      <c:catAx>
        <c:axId val="142929382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290912"/>
        <c:crosses val="autoZero"/>
        <c:auto val="1"/>
        <c:lblAlgn val="ctr"/>
        <c:lblOffset val="100"/>
        <c:noMultiLvlLbl val="0"/>
      </c:catAx>
      <c:valAx>
        <c:axId val="1429290912"/>
        <c:scaling>
          <c:orientation val="minMax"/>
        </c:scaling>
        <c:delete val="1"/>
        <c:axPos val="r"/>
        <c:numFmt formatCode="@" sourceLinked="1"/>
        <c:majorTickMark val="none"/>
        <c:minorTickMark val="none"/>
        <c:tickLblPos val="nextTo"/>
        <c:crossAx val="1429293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18_Shittu Isau Ajemayowa.xlsx]Top 6 Ship cities by Revenue!PivotTable1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6 Ship Cities</a:t>
            </a:r>
            <a:r>
              <a:rPr lang="en-US" baseline="0"/>
              <a: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40000"/>
              <a:lumOff val="60000"/>
            </a:schemeClr>
          </a:solidFill>
          <a:ln>
            <a:noFill/>
          </a:ln>
          <a:effectLst/>
        </c:spPr>
      </c:pivotFmt>
      <c:pivotFmt>
        <c:idx val="6"/>
        <c:spPr>
          <a:solidFill>
            <a:schemeClr val="accent5">
              <a:lumMod val="20000"/>
              <a:lumOff val="80000"/>
            </a:schemeClr>
          </a:solidFill>
          <a:ln>
            <a:noFill/>
          </a:ln>
          <a:effectLst/>
        </c:spPr>
      </c:pivotFmt>
      <c:pivotFmt>
        <c:idx val="7"/>
        <c:spPr>
          <a:solidFill>
            <a:schemeClr val="accent5">
              <a:lumMod val="50000"/>
            </a:schemeClr>
          </a:solidFill>
          <a:ln>
            <a:noFill/>
          </a:ln>
          <a:effectLst/>
        </c:spPr>
      </c:pivotFmt>
      <c:pivotFmt>
        <c:idx val="8"/>
        <c:spPr>
          <a:solidFill>
            <a:schemeClr val="accent5">
              <a:lumMod val="50000"/>
            </a:schemeClr>
          </a:solidFill>
          <a:ln>
            <a:noFill/>
          </a:ln>
          <a:effectLst/>
        </c:spPr>
      </c:pivotFmt>
      <c:pivotFmt>
        <c:idx val="9"/>
        <c:spPr>
          <a:solidFill>
            <a:schemeClr val="accent5">
              <a:lumMod val="50000"/>
            </a:schemeClr>
          </a:solidFill>
          <a:ln>
            <a:noFill/>
          </a:ln>
          <a:effectLst/>
        </c:spPr>
      </c:pivotFmt>
      <c:pivotFmt>
        <c:idx val="10"/>
        <c:spPr>
          <a:solidFill>
            <a:schemeClr val="accent5">
              <a:lumMod val="50000"/>
            </a:schemeClr>
          </a:solidFill>
          <a:ln>
            <a:noFill/>
          </a:ln>
          <a:effectLst/>
        </c:spPr>
      </c:pivotFmt>
      <c:pivotFmt>
        <c:idx val="11"/>
        <c:spPr>
          <a:solidFill>
            <a:schemeClr val="accent5">
              <a:lumMod val="50000"/>
            </a:schemeClr>
          </a:solidFill>
          <a:ln>
            <a:noFill/>
          </a:ln>
          <a:effectLst/>
        </c:spPr>
      </c:pivotFmt>
    </c:pivotFmts>
    <c:plotArea>
      <c:layout/>
      <c:barChart>
        <c:barDir val="bar"/>
        <c:grouping val="clustered"/>
        <c:varyColors val="0"/>
        <c:ser>
          <c:idx val="0"/>
          <c:order val="0"/>
          <c:tx>
            <c:strRef>
              <c:f>'Top 6 Ship cities by Revenue'!$B$3</c:f>
              <c:strCache>
                <c:ptCount val="1"/>
                <c:pt idx="0">
                  <c:v>Total</c:v>
                </c:pt>
              </c:strCache>
            </c:strRef>
          </c:tx>
          <c:spPr>
            <a:solidFill>
              <a:schemeClr val="accent5">
                <a:lumMod val="50000"/>
              </a:schemeClr>
            </a:solidFill>
            <a:ln>
              <a:noFill/>
            </a:ln>
            <a:effectLst/>
          </c:spPr>
          <c:invertIfNegative val="0"/>
          <c:dPt>
            <c:idx val="1"/>
            <c:invertIfNegative val="0"/>
            <c:bubble3D val="0"/>
            <c:extLst>
              <c:ext xmlns:c16="http://schemas.microsoft.com/office/drawing/2014/chart" uri="{C3380CC4-5D6E-409C-BE32-E72D297353CC}">
                <c16:uniqueId val="{00000003-2D18-4587-A9CF-FD75D67BC571}"/>
              </c:ext>
            </c:extLst>
          </c:dPt>
          <c:dPt>
            <c:idx val="2"/>
            <c:invertIfNegative val="0"/>
            <c:bubble3D val="0"/>
            <c:extLst>
              <c:ext xmlns:c16="http://schemas.microsoft.com/office/drawing/2014/chart" uri="{C3380CC4-5D6E-409C-BE32-E72D297353CC}">
                <c16:uniqueId val="{00000004-2D18-4587-A9CF-FD75D67BC571}"/>
              </c:ext>
            </c:extLst>
          </c:dPt>
          <c:dPt>
            <c:idx val="3"/>
            <c:invertIfNegative val="0"/>
            <c:bubble3D val="0"/>
            <c:extLst>
              <c:ext xmlns:c16="http://schemas.microsoft.com/office/drawing/2014/chart" uri="{C3380CC4-5D6E-409C-BE32-E72D297353CC}">
                <c16:uniqueId val="{00000005-2D18-4587-A9CF-FD75D67BC571}"/>
              </c:ext>
            </c:extLst>
          </c:dPt>
          <c:dPt>
            <c:idx val="4"/>
            <c:invertIfNegative val="0"/>
            <c:bubble3D val="0"/>
            <c:extLst>
              <c:ext xmlns:c16="http://schemas.microsoft.com/office/drawing/2014/chart" uri="{C3380CC4-5D6E-409C-BE32-E72D297353CC}">
                <c16:uniqueId val="{00000006-2D18-4587-A9CF-FD75D67BC571}"/>
              </c:ext>
            </c:extLst>
          </c:dPt>
          <c:dPt>
            <c:idx val="5"/>
            <c:invertIfNegative val="0"/>
            <c:bubble3D val="0"/>
            <c:extLst>
              <c:ext xmlns:c16="http://schemas.microsoft.com/office/drawing/2014/chart" uri="{C3380CC4-5D6E-409C-BE32-E72D297353CC}">
                <c16:uniqueId val="{00000007-2D18-4587-A9CF-FD75D67BC5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6 Ship cities by Revenue'!$A$4:$A$10</c:f>
              <c:strCache>
                <c:ptCount val="6"/>
                <c:pt idx="0">
                  <c:v>New York</c:v>
                </c:pt>
                <c:pt idx="1">
                  <c:v>Portland</c:v>
                </c:pt>
                <c:pt idx="2">
                  <c:v>Miami</c:v>
                </c:pt>
                <c:pt idx="3">
                  <c:v>Memphis</c:v>
                </c:pt>
                <c:pt idx="4">
                  <c:v>Chicago</c:v>
                </c:pt>
                <c:pt idx="5">
                  <c:v>Milwaukee</c:v>
                </c:pt>
              </c:strCache>
            </c:strRef>
          </c:cat>
          <c:val>
            <c:numRef>
              <c:f>'Top 6 Ship cities by Revenue'!$B$4:$B$10</c:f>
              <c:numCache>
                <c:formatCode>"$"#,##0.00</c:formatCode>
                <c:ptCount val="6"/>
                <c:pt idx="0">
                  <c:v>67180.5</c:v>
                </c:pt>
                <c:pt idx="1">
                  <c:v>50208.35</c:v>
                </c:pt>
                <c:pt idx="2">
                  <c:v>50145.330000000009</c:v>
                </c:pt>
                <c:pt idx="3">
                  <c:v>43713</c:v>
                </c:pt>
                <c:pt idx="4">
                  <c:v>41095.01</c:v>
                </c:pt>
                <c:pt idx="5">
                  <c:v>37428</c:v>
                </c:pt>
              </c:numCache>
            </c:numRef>
          </c:val>
          <c:extLst>
            <c:ext xmlns:c16="http://schemas.microsoft.com/office/drawing/2014/chart" uri="{C3380CC4-5D6E-409C-BE32-E72D297353CC}">
              <c16:uniqueId val="{00000000-2D18-4587-A9CF-FD75D67BC571}"/>
            </c:ext>
          </c:extLst>
        </c:ser>
        <c:dLbls>
          <c:dLblPos val="outEnd"/>
          <c:showLegendKey val="0"/>
          <c:showVal val="1"/>
          <c:showCatName val="0"/>
          <c:showSerName val="0"/>
          <c:showPercent val="0"/>
          <c:showBubbleSize val="0"/>
        </c:dLbls>
        <c:gapWidth val="30"/>
        <c:axId val="474644608"/>
        <c:axId val="474638784"/>
      </c:barChart>
      <c:catAx>
        <c:axId val="47464460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638784"/>
        <c:crosses val="autoZero"/>
        <c:auto val="1"/>
        <c:lblAlgn val="ctr"/>
        <c:lblOffset val="100"/>
        <c:noMultiLvlLbl val="0"/>
      </c:catAx>
      <c:valAx>
        <c:axId val="474638784"/>
        <c:scaling>
          <c:orientation val="minMax"/>
        </c:scaling>
        <c:delete val="1"/>
        <c:axPos val="t"/>
        <c:majorGridlines>
          <c:spPr>
            <a:ln w="9525" cap="flat" cmpd="sng" algn="ctr">
              <a:solidFill>
                <a:schemeClr val="bg1">
                  <a:lumMod val="95000"/>
                </a:schemeClr>
              </a:solidFill>
              <a:round/>
            </a:ln>
            <a:effectLst/>
          </c:spPr>
        </c:majorGridlines>
        <c:numFmt formatCode="&quot;$&quot;#,##0.00" sourceLinked="1"/>
        <c:majorTickMark val="none"/>
        <c:minorTickMark val="none"/>
        <c:tickLblPos val="nextTo"/>
        <c:crossAx val="47464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18_Shittu Isau Ajemayowa.xlsx]Top Cities By Revenue!PivotTable1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Top Cities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40000"/>
              <a:lumOff val="60000"/>
            </a:schemeClr>
          </a:solidFill>
          <a:ln>
            <a:noFill/>
          </a:ln>
          <a:effectLst/>
        </c:spPr>
      </c:pivotFmt>
      <c:pivotFmt>
        <c:idx val="6"/>
        <c:spPr>
          <a:solidFill>
            <a:schemeClr val="accent5">
              <a:lumMod val="20000"/>
              <a:lumOff val="8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5">
              <a:lumMod val="20000"/>
              <a:lumOff val="80000"/>
            </a:schemeClr>
          </a:solidFill>
          <a:ln>
            <a:noFill/>
          </a:ln>
          <a:effectLst/>
        </c:spPr>
      </c:pivotFmt>
    </c:pivotFmts>
    <c:plotArea>
      <c:layout/>
      <c:barChart>
        <c:barDir val="col"/>
        <c:grouping val="clustered"/>
        <c:varyColors val="0"/>
        <c:ser>
          <c:idx val="0"/>
          <c:order val="0"/>
          <c:tx>
            <c:strRef>
              <c:f>'Top Cities By Revenue'!$B$3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E9B2-44AA-8275-5301BB054C8D}"/>
              </c:ext>
            </c:extLst>
          </c:dPt>
          <c:dPt>
            <c:idx val="1"/>
            <c:invertIfNegative val="0"/>
            <c:bubble3D val="0"/>
            <c:extLst>
              <c:ext xmlns:c16="http://schemas.microsoft.com/office/drawing/2014/chart" uri="{C3380CC4-5D6E-409C-BE32-E72D297353CC}">
                <c16:uniqueId val="{00000003-E9B2-44AA-8275-5301BB054C8D}"/>
              </c:ext>
            </c:extLst>
          </c:dPt>
          <c:dPt>
            <c:idx val="2"/>
            <c:invertIfNegative val="0"/>
            <c:bubble3D val="0"/>
            <c:extLst>
              <c:ext xmlns:c16="http://schemas.microsoft.com/office/drawing/2014/chart" uri="{C3380CC4-5D6E-409C-BE32-E72D297353CC}">
                <c16:uniqueId val="{00000005-E9B2-44AA-8275-5301BB054C8D}"/>
              </c:ext>
            </c:extLst>
          </c:dPt>
          <c:dPt>
            <c:idx val="3"/>
            <c:invertIfNegative val="0"/>
            <c:bubble3D val="0"/>
            <c:extLst>
              <c:ext xmlns:c16="http://schemas.microsoft.com/office/drawing/2014/chart" uri="{C3380CC4-5D6E-409C-BE32-E72D297353CC}">
                <c16:uniqueId val="{00000007-E9B2-44AA-8275-5301BB054C8D}"/>
              </c:ext>
            </c:extLst>
          </c:dPt>
          <c:dPt>
            <c:idx val="4"/>
            <c:invertIfNegative val="0"/>
            <c:bubble3D val="0"/>
            <c:extLst>
              <c:ext xmlns:c16="http://schemas.microsoft.com/office/drawing/2014/chart" uri="{C3380CC4-5D6E-409C-BE32-E72D297353CC}">
                <c16:uniqueId val="{00000009-E9B2-44AA-8275-5301BB054C8D}"/>
              </c:ext>
            </c:extLst>
          </c:dPt>
          <c:dPt>
            <c:idx val="5"/>
            <c:invertIfNegative val="0"/>
            <c:bubble3D val="0"/>
            <c:extLst>
              <c:ext xmlns:c16="http://schemas.microsoft.com/office/drawing/2014/chart" uri="{C3380CC4-5D6E-409C-BE32-E72D297353CC}">
                <c16:uniqueId val="{0000000B-E9B2-44AA-8275-5301BB054C8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Cities By Revenue'!$A$4:$A$9</c:f>
              <c:strCache>
                <c:ptCount val="5"/>
                <c:pt idx="0">
                  <c:v>New York</c:v>
                </c:pt>
                <c:pt idx="1">
                  <c:v>Portland</c:v>
                </c:pt>
                <c:pt idx="2">
                  <c:v>Miami</c:v>
                </c:pt>
                <c:pt idx="3">
                  <c:v>Memphis</c:v>
                </c:pt>
                <c:pt idx="4">
                  <c:v>Chicago</c:v>
                </c:pt>
              </c:strCache>
            </c:strRef>
          </c:cat>
          <c:val>
            <c:numRef>
              <c:f>'Top Cities By Revenue'!$B$4:$B$9</c:f>
              <c:numCache>
                <c:formatCode>"$"#,##0.00</c:formatCode>
                <c:ptCount val="5"/>
                <c:pt idx="0">
                  <c:v>67180.5</c:v>
                </c:pt>
                <c:pt idx="1">
                  <c:v>50208.35</c:v>
                </c:pt>
                <c:pt idx="2">
                  <c:v>50145.330000000009</c:v>
                </c:pt>
                <c:pt idx="3">
                  <c:v>43713</c:v>
                </c:pt>
                <c:pt idx="4">
                  <c:v>41095.01</c:v>
                </c:pt>
              </c:numCache>
            </c:numRef>
          </c:val>
          <c:extLst>
            <c:ext xmlns:c16="http://schemas.microsoft.com/office/drawing/2014/chart" uri="{C3380CC4-5D6E-409C-BE32-E72D297353CC}">
              <c16:uniqueId val="{0000000C-E9B2-44AA-8275-5301BB054C8D}"/>
            </c:ext>
          </c:extLst>
        </c:ser>
        <c:dLbls>
          <c:dLblPos val="outEnd"/>
          <c:showLegendKey val="0"/>
          <c:showVal val="1"/>
          <c:showCatName val="0"/>
          <c:showSerName val="0"/>
          <c:showPercent val="0"/>
          <c:showBubbleSize val="0"/>
        </c:dLbls>
        <c:gapWidth val="219"/>
        <c:overlap val="-27"/>
        <c:axId val="474644608"/>
        <c:axId val="474638784"/>
      </c:barChart>
      <c:catAx>
        <c:axId val="47464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638784"/>
        <c:crosses val="autoZero"/>
        <c:auto val="1"/>
        <c:lblAlgn val="ctr"/>
        <c:lblOffset val="100"/>
        <c:noMultiLvlLbl val="0"/>
      </c:catAx>
      <c:valAx>
        <c:axId val="474638784"/>
        <c:scaling>
          <c:orientation val="minMax"/>
        </c:scaling>
        <c:delete val="1"/>
        <c:axPos val="l"/>
        <c:majorGridlines>
          <c:spPr>
            <a:ln w="9525" cap="flat" cmpd="sng" algn="ctr">
              <a:solidFill>
                <a:schemeClr val="bg1">
                  <a:lumMod val="95000"/>
                </a:schemeClr>
              </a:solidFill>
              <a:round/>
            </a:ln>
            <a:effectLst/>
          </c:spPr>
        </c:majorGridlines>
        <c:numFmt formatCode="&quot;$&quot;#,##0.00" sourceLinked="1"/>
        <c:majorTickMark val="none"/>
        <c:minorTickMark val="none"/>
        <c:tickLblPos val="nextTo"/>
        <c:crossAx val="47464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18_Shittu Isau Ajemayowa.xlsx]Sales Trend Report!PivotTable1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Garamond" panose="02020404030301010803" pitchFamily="18" charset="0"/>
              </a:rPr>
              <a:t>Sales Trends</a:t>
            </a:r>
            <a:r>
              <a:rPr lang="en-US" b="1" baseline="0">
                <a:latin typeface="Garamond" panose="02020404030301010803" pitchFamily="18" charset="0"/>
              </a:rPr>
              <a:t> Reports</a:t>
            </a:r>
            <a:endParaRPr lang="en-US" b="1">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50000"/>
              </a:schemeClr>
            </a:solidFill>
            <a:round/>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111912644332125E-2"/>
          <c:y val="0.17805788858175634"/>
          <c:w val="0.95977617471133569"/>
          <c:h val="0.6408338735156125"/>
        </c:manualLayout>
      </c:layout>
      <c:lineChart>
        <c:grouping val="standard"/>
        <c:varyColors val="0"/>
        <c:ser>
          <c:idx val="0"/>
          <c:order val="0"/>
          <c:tx>
            <c:strRef>
              <c:f>'Sales Trend Report'!$B$3</c:f>
              <c:strCache>
                <c:ptCount val="1"/>
                <c:pt idx="0">
                  <c:v>Total</c:v>
                </c:pt>
              </c:strCache>
            </c:strRef>
          </c:tx>
          <c:spPr>
            <a:ln w="28575" cap="rnd">
              <a:solidFill>
                <a:schemeClr val="accent5">
                  <a:lumMod val="50000"/>
                </a:schemeClr>
              </a:solidFill>
              <a:round/>
            </a:ln>
            <a:effectLst/>
          </c:spPr>
          <c:marker>
            <c:symbol val="none"/>
          </c:marker>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Dec</c:v>
                </c:pt>
                <c:pt idx="1">
                  <c:v>Nov</c:v>
                </c:pt>
                <c:pt idx="2">
                  <c:v>Oct</c:v>
                </c:pt>
                <c:pt idx="3">
                  <c:v>Sep</c:v>
                </c:pt>
                <c:pt idx="4">
                  <c:v>Aug</c:v>
                </c:pt>
                <c:pt idx="5">
                  <c:v>Jul</c:v>
                </c:pt>
                <c:pt idx="6">
                  <c:v>Jun</c:v>
                </c:pt>
                <c:pt idx="7">
                  <c:v>May</c:v>
                </c:pt>
                <c:pt idx="8">
                  <c:v>Apr</c:v>
                </c:pt>
                <c:pt idx="9">
                  <c:v>Mar</c:v>
                </c:pt>
                <c:pt idx="10">
                  <c:v>Feb</c:v>
                </c:pt>
                <c:pt idx="11">
                  <c:v>Jan</c:v>
                </c:pt>
              </c:strCache>
            </c:strRef>
          </c:cat>
          <c:val>
            <c:numRef>
              <c:f>'Sales Trend Report'!$B$4:$B$16</c:f>
              <c:numCache>
                <c:formatCode>"$"#,##0.00</c:formatCode>
                <c:ptCount val="12"/>
                <c:pt idx="0">
                  <c:v>66642.78</c:v>
                </c:pt>
                <c:pt idx="1">
                  <c:v>31773.429999999997</c:v>
                </c:pt>
                <c:pt idx="2">
                  <c:v>53033.59</c:v>
                </c:pt>
                <c:pt idx="3">
                  <c:v>31949.97</c:v>
                </c:pt>
                <c:pt idx="4">
                  <c:v>29921.459999999995</c:v>
                </c:pt>
                <c:pt idx="5">
                  <c:v>27318.539999999997</c:v>
                </c:pt>
                <c:pt idx="6">
                  <c:v>55601.61</c:v>
                </c:pt>
                <c:pt idx="7">
                  <c:v>34307.049999999996</c:v>
                </c:pt>
                <c:pt idx="8">
                  <c:v>20771.789999999997</c:v>
                </c:pt>
                <c:pt idx="9">
                  <c:v>30852.6</c:v>
                </c:pt>
                <c:pt idx="10">
                  <c:v>19985.5</c:v>
                </c:pt>
                <c:pt idx="11">
                  <c:v>32907.839999999997</c:v>
                </c:pt>
              </c:numCache>
            </c:numRef>
          </c:val>
          <c:smooth val="0"/>
          <c:extLst>
            <c:ext xmlns:c16="http://schemas.microsoft.com/office/drawing/2014/chart" uri="{C3380CC4-5D6E-409C-BE32-E72D297353CC}">
              <c16:uniqueId val="{00000000-2626-4D37-BAFD-7E05E0448A68}"/>
            </c:ext>
          </c:extLst>
        </c:ser>
        <c:dLbls>
          <c:dLblPos val="r"/>
          <c:showLegendKey val="0"/>
          <c:showVal val="1"/>
          <c:showCatName val="0"/>
          <c:showSerName val="0"/>
          <c:showPercent val="0"/>
          <c:showBubbleSize val="0"/>
        </c:dLbls>
        <c:smooth val="0"/>
        <c:axId val="1426646896"/>
        <c:axId val="1426647728"/>
      </c:lineChart>
      <c:catAx>
        <c:axId val="1426646896"/>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647728"/>
        <c:crosses val="autoZero"/>
        <c:auto val="1"/>
        <c:lblAlgn val="ctr"/>
        <c:lblOffset val="100"/>
        <c:noMultiLvlLbl val="0"/>
      </c:catAx>
      <c:valAx>
        <c:axId val="1426647728"/>
        <c:scaling>
          <c:orientation val="minMax"/>
        </c:scaling>
        <c:delete val="1"/>
        <c:axPos val="r"/>
        <c:majorGridlines>
          <c:spPr>
            <a:ln w="9525" cap="flat" cmpd="sng" algn="ctr">
              <a:solidFill>
                <a:schemeClr val="bg1">
                  <a:lumMod val="85000"/>
                </a:schemeClr>
              </a:solidFill>
              <a:round/>
            </a:ln>
            <a:effectLst/>
          </c:spPr>
        </c:majorGridlines>
        <c:numFmt formatCode="&quot;$&quot;#,##0.00" sourceLinked="1"/>
        <c:majorTickMark val="out"/>
        <c:minorTickMark val="none"/>
        <c:tickLblPos val="nextTo"/>
        <c:crossAx val="142664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18_Shittu Isau Ajemayowa.xlsx]Top 6 Ship cities by Revenue!PivotTable1</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Garamond" panose="02020404030301010803" pitchFamily="18" charset="0"/>
              </a:rPr>
              <a:t>Top 6 Ship Cities</a:t>
            </a:r>
            <a:r>
              <a:rPr lang="en-US" b="1" baseline="0">
                <a:latin typeface="Garamond" panose="02020404030301010803" pitchFamily="18" charset="0"/>
              </a:rPr>
              <a:t> by Revenue</a:t>
            </a:r>
            <a:endParaRPr lang="en-US" b="1">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40000"/>
              <a:lumOff val="60000"/>
            </a:schemeClr>
          </a:solidFill>
          <a:ln>
            <a:noFill/>
          </a:ln>
          <a:effectLst/>
        </c:spPr>
      </c:pivotFmt>
      <c:pivotFmt>
        <c:idx val="6"/>
        <c:spPr>
          <a:solidFill>
            <a:schemeClr val="accent5">
              <a:lumMod val="20000"/>
              <a:lumOff val="80000"/>
            </a:schemeClr>
          </a:solidFill>
          <a:ln>
            <a:noFill/>
          </a:ln>
          <a:effectLst/>
        </c:spPr>
      </c:pivotFmt>
      <c:pivotFmt>
        <c:idx val="7"/>
        <c:spPr>
          <a:solidFill>
            <a:schemeClr val="accent5">
              <a:lumMod val="75000"/>
            </a:schemeClr>
          </a:solidFill>
          <a:ln>
            <a:noFill/>
          </a:ln>
          <a:effectLst/>
        </c:spPr>
      </c:pivotFmt>
      <c:pivotFmt>
        <c:idx val="8"/>
        <c:spPr>
          <a:solidFill>
            <a:schemeClr val="accent5">
              <a:lumMod val="75000"/>
            </a:schemeClr>
          </a:solidFill>
          <a:ln>
            <a:noFill/>
          </a:ln>
          <a:effectLst/>
        </c:spPr>
      </c:pivotFmt>
      <c:pivotFmt>
        <c:idx val="9"/>
        <c:spPr>
          <a:solidFill>
            <a:schemeClr val="accent5">
              <a:lumMod val="60000"/>
              <a:lumOff val="40000"/>
            </a:schemeClr>
          </a:solidFill>
          <a:ln>
            <a:noFill/>
          </a:ln>
          <a:effectLst/>
        </c:spPr>
      </c:pivotFmt>
      <c:pivotFmt>
        <c:idx val="10"/>
        <c:spPr>
          <a:solidFill>
            <a:schemeClr val="accent5">
              <a:lumMod val="40000"/>
              <a:lumOff val="60000"/>
            </a:schemeClr>
          </a:solidFill>
          <a:ln>
            <a:noFill/>
          </a:ln>
          <a:effectLst/>
        </c:spPr>
      </c:pivotFmt>
      <c:pivotFmt>
        <c:idx val="11"/>
        <c:spPr>
          <a:solidFill>
            <a:schemeClr val="accent5">
              <a:lumMod val="20000"/>
              <a:lumOff val="80000"/>
            </a:schemeClr>
          </a:solidFill>
          <a:ln>
            <a:noFill/>
          </a:ln>
          <a:effectLst/>
        </c:spPr>
      </c:pivotFmt>
      <c:pivotFmt>
        <c:idx val="1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pivotFmt>
      <c:pivotFmt>
        <c:idx val="14"/>
        <c:spPr>
          <a:solidFill>
            <a:schemeClr val="accent5">
              <a:lumMod val="75000"/>
            </a:schemeClr>
          </a:solidFill>
          <a:ln>
            <a:noFill/>
          </a:ln>
          <a:effectLst/>
        </c:spPr>
      </c:pivotFmt>
      <c:pivotFmt>
        <c:idx val="15"/>
        <c:spPr>
          <a:solidFill>
            <a:schemeClr val="accent5">
              <a:lumMod val="60000"/>
              <a:lumOff val="4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75000"/>
            </a:schemeClr>
          </a:solidFill>
          <a:ln>
            <a:noFill/>
          </a:ln>
          <a:effectLst/>
        </c:spPr>
      </c:pivotFmt>
      <c:pivotFmt>
        <c:idx val="20"/>
        <c:spPr>
          <a:solidFill>
            <a:schemeClr val="accent5">
              <a:lumMod val="75000"/>
            </a:schemeClr>
          </a:solidFill>
          <a:ln>
            <a:noFill/>
          </a:ln>
          <a:effectLst/>
        </c:spPr>
      </c:pivotFmt>
      <c:pivotFmt>
        <c:idx val="21"/>
        <c:spPr>
          <a:solidFill>
            <a:schemeClr val="accent5">
              <a:lumMod val="60000"/>
              <a:lumOff val="40000"/>
            </a:schemeClr>
          </a:solidFill>
          <a:ln>
            <a:noFill/>
          </a:ln>
          <a:effectLst/>
        </c:spPr>
      </c:pivotFmt>
      <c:pivotFmt>
        <c:idx val="22"/>
        <c:spPr>
          <a:solidFill>
            <a:schemeClr val="accent5">
              <a:lumMod val="40000"/>
              <a:lumOff val="60000"/>
            </a:schemeClr>
          </a:solidFill>
          <a:ln>
            <a:noFill/>
          </a:ln>
          <a:effectLst/>
        </c:spPr>
      </c:pivotFmt>
      <c:pivotFmt>
        <c:idx val="23"/>
        <c:spPr>
          <a:solidFill>
            <a:schemeClr val="accent5">
              <a:lumMod val="20000"/>
              <a:lumOff val="80000"/>
            </a:schemeClr>
          </a:solidFill>
          <a:ln>
            <a:noFill/>
          </a:ln>
          <a:effectLst/>
        </c:spPr>
      </c:pivotFmt>
      <c:pivotFmt>
        <c:idx val="24"/>
        <c:spPr>
          <a:solidFill>
            <a:schemeClr val="accent5">
              <a:lumMod val="50000"/>
            </a:schemeClr>
          </a:solidFill>
          <a:ln>
            <a:noFill/>
          </a:ln>
          <a:effectLst/>
        </c:spPr>
      </c:pivotFmt>
    </c:pivotFmts>
    <c:plotArea>
      <c:layout/>
      <c:barChart>
        <c:barDir val="bar"/>
        <c:grouping val="clustered"/>
        <c:varyColors val="0"/>
        <c:ser>
          <c:idx val="0"/>
          <c:order val="0"/>
          <c:tx>
            <c:strRef>
              <c:f>'Top 6 Ship cities by Revenue'!$B$3</c:f>
              <c:strCache>
                <c:ptCount val="1"/>
                <c:pt idx="0">
                  <c:v>Total</c:v>
                </c:pt>
              </c:strCache>
            </c:strRef>
          </c:tx>
          <c:spPr>
            <a:solidFill>
              <a:schemeClr val="accent5">
                <a:lumMod val="50000"/>
              </a:schemeClr>
            </a:solidFill>
            <a:ln>
              <a:noFill/>
            </a:ln>
            <a:effectLst/>
          </c:spPr>
          <c:invertIfNegative val="0"/>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1-F261-42A5-B994-95370E12C66E}"/>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3-F261-42A5-B994-95370E12C66E}"/>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261-42A5-B994-95370E12C66E}"/>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F261-42A5-B994-95370E12C66E}"/>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9-F261-42A5-B994-95370E12C66E}"/>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6 Ship cities by Revenue'!$A$4:$A$10</c:f>
              <c:strCache>
                <c:ptCount val="6"/>
                <c:pt idx="0">
                  <c:v>New York</c:v>
                </c:pt>
                <c:pt idx="1">
                  <c:v>Portland</c:v>
                </c:pt>
                <c:pt idx="2">
                  <c:v>Miami</c:v>
                </c:pt>
                <c:pt idx="3">
                  <c:v>Memphis</c:v>
                </c:pt>
                <c:pt idx="4">
                  <c:v>Chicago</c:v>
                </c:pt>
                <c:pt idx="5">
                  <c:v>Milwaukee</c:v>
                </c:pt>
              </c:strCache>
            </c:strRef>
          </c:cat>
          <c:val>
            <c:numRef>
              <c:f>'Top 6 Ship cities by Revenue'!$B$4:$B$10</c:f>
              <c:numCache>
                <c:formatCode>"$"#,##0.00</c:formatCode>
                <c:ptCount val="6"/>
                <c:pt idx="0">
                  <c:v>67180.5</c:v>
                </c:pt>
                <c:pt idx="1">
                  <c:v>50208.35</c:v>
                </c:pt>
                <c:pt idx="2">
                  <c:v>50145.330000000009</c:v>
                </c:pt>
                <c:pt idx="3">
                  <c:v>43713</c:v>
                </c:pt>
                <c:pt idx="4">
                  <c:v>41095.01</c:v>
                </c:pt>
                <c:pt idx="5">
                  <c:v>37428</c:v>
                </c:pt>
              </c:numCache>
            </c:numRef>
          </c:val>
          <c:extLst>
            <c:ext xmlns:c16="http://schemas.microsoft.com/office/drawing/2014/chart" uri="{C3380CC4-5D6E-409C-BE32-E72D297353CC}">
              <c16:uniqueId val="{0000000A-F261-42A5-B994-95370E12C66E}"/>
            </c:ext>
          </c:extLst>
        </c:ser>
        <c:dLbls>
          <c:dLblPos val="outEnd"/>
          <c:showLegendKey val="0"/>
          <c:showVal val="1"/>
          <c:showCatName val="0"/>
          <c:showSerName val="0"/>
          <c:showPercent val="0"/>
          <c:showBubbleSize val="0"/>
        </c:dLbls>
        <c:gapWidth val="30"/>
        <c:axId val="474644608"/>
        <c:axId val="474638784"/>
      </c:barChart>
      <c:catAx>
        <c:axId val="47464460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638784"/>
        <c:crosses val="autoZero"/>
        <c:auto val="1"/>
        <c:lblAlgn val="ctr"/>
        <c:lblOffset val="100"/>
        <c:noMultiLvlLbl val="0"/>
      </c:catAx>
      <c:valAx>
        <c:axId val="474638784"/>
        <c:scaling>
          <c:orientation val="minMax"/>
        </c:scaling>
        <c:delete val="1"/>
        <c:axPos val="t"/>
        <c:majorGridlines>
          <c:spPr>
            <a:ln w="9525" cap="flat" cmpd="sng" algn="ctr">
              <a:solidFill>
                <a:schemeClr val="bg1">
                  <a:lumMod val="95000"/>
                </a:schemeClr>
              </a:solidFill>
              <a:round/>
            </a:ln>
            <a:effectLst/>
          </c:spPr>
        </c:majorGridlines>
        <c:numFmt formatCode="&quot;$&quot;#,##0.00" sourceLinked="1"/>
        <c:majorTickMark val="none"/>
        <c:minorTickMark val="none"/>
        <c:tickLblPos val="nextTo"/>
        <c:crossAx val="47464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18_Shittu Isau Ajemayowa.xlsx]Transaction By Amount!PivotTable1</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Garamond" panose="02020404030301010803" pitchFamily="18" charset="0"/>
              </a:rPr>
              <a:t>Sales By</a:t>
            </a:r>
            <a:r>
              <a:rPr lang="en-US" b="1" baseline="0">
                <a:latin typeface="Garamond" panose="02020404030301010803" pitchFamily="18" charset="0"/>
              </a:rPr>
              <a:t> Product Category</a:t>
            </a:r>
            <a:endParaRPr lang="en-US" b="1">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40000"/>
              <a:lumOff val="6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3">
              <a:lumMod val="20000"/>
              <a:lumOff val="80000"/>
            </a:schemeClr>
          </a:solidFill>
          <a:ln>
            <a:noFill/>
          </a:ln>
          <a:effectLst/>
        </c:spPr>
      </c:pivotFmt>
      <c:pivotFmt>
        <c:idx val="8"/>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20000"/>
              <a:lumOff val="80000"/>
            </a:schemeClr>
          </a:solidFill>
          <a:ln>
            <a:noFill/>
          </a:ln>
          <a:effectLst/>
        </c:spPr>
      </c:pivotFmt>
      <c:pivotFmt>
        <c:idx val="10"/>
        <c:spPr>
          <a:solidFill>
            <a:schemeClr val="accent5">
              <a:lumMod val="40000"/>
              <a:lumOff val="60000"/>
            </a:schemeClr>
          </a:solidFill>
          <a:ln>
            <a:noFill/>
          </a:ln>
          <a:effectLst/>
        </c:spPr>
      </c:pivotFmt>
      <c:pivotFmt>
        <c:idx val="11"/>
        <c:spPr>
          <a:solidFill>
            <a:schemeClr val="accent5">
              <a:lumMod val="40000"/>
              <a:lumOff val="60000"/>
            </a:schemeClr>
          </a:solidFill>
          <a:ln>
            <a:noFill/>
          </a:ln>
          <a:effectLst/>
        </c:spPr>
      </c:pivotFmt>
      <c:pivotFmt>
        <c:idx val="12"/>
        <c:spPr>
          <a:solidFill>
            <a:schemeClr val="accent5">
              <a:lumMod val="60000"/>
              <a:lumOff val="40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75000"/>
            </a:schemeClr>
          </a:solidFill>
          <a:ln>
            <a:noFill/>
          </a:ln>
          <a:effectLst/>
        </c:spPr>
      </c:pivotFmt>
      <c:pivotFmt>
        <c:idx val="15"/>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lumMod val="20000"/>
              <a:lumOff val="80000"/>
            </a:schemeClr>
          </a:solidFill>
          <a:ln>
            <a:noFill/>
          </a:ln>
          <a:effectLst/>
        </c:spPr>
      </c:pivotFmt>
      <c:pivotFmt>
        <c:idx val="17"/>
        <c:spPr>
          <a:solidFill>
            <a:schemeClr val="accent5">
              <a:lumMod val="40000"/>
              <a:lumOff val="60000"/>
            </a:schemeClr>
          </a:solidFill>
          <a:ln>
            <a:noFill/>
          </a:ln>
          <a:effectLst/>
        </c:spPr>
      </c:pivotFmt>
      <c:pivotFmt>
        <c:idx val="18"/>
        <c:spPr>
          <a:solidFill>
            <a:schemeClr val="accent5">
              <a:lumMod val="40000"/>
              <a:lumOff val="60000"/>
            </a:schemeClr>
          </a:solidFill>
          <a:ln>
            <a:noFill/>
          </a:ln>
          <a:effectLst/>
        </c:spPr>
      </c:pivotFmt>
      <c:pivotFmt>
        <c:idx val="19"/>
        <c:spPr>
          <a:solidFill>
            <a:schemeClr val="accent5">
              <a:lumMod val="60000"/>
              <a:lumOff val="40000"/>
            </a:schemeClr>
          </a:solidFill>
          <a:ln>
            <a:noFill/>
          </a:ln>
          <a:effectLst/>
        </c:spPr>
      </c:pivotFmt>
      <c:pivotFmt>
        <c:idx val="20"/>
        <c:spPr>
          <a:solidFill>
            <a:schemeClr val="accent5">
              <a:lumMod val="75000"/>
            </a:schemeClr>
          </a:solidFill>
          <a:ln>
            <a:noFill/>
          </a:ln>
          <a:effectLst/>
        </c:spPr>
      </c:pivotFmt>
      <c:pivotFmt>
        <c:idx val="21"/>
        <c:spPr>
          <a:solidFill>
            <a:schemeClr val="accent5">
              <a:lumMod val="75000"/>
            </a:schemeClr>
          </a:solidFill>
          <a:ln>
            <a:noFill/>
          </a:ln>
          <a:effectLst/>
        </c:spPr>
      </c:pivotFmt>
    </c:pivotFmts>
    <c:plotArea>
      <c:layout/>
      <c:barChart>
        <c:barDir val="col"/>
        <c:grouping val="clustered"/>
        <c:varyColors val="0"/>
        <c:ser>
          <c:idx val="0"/>
          <c:order val="0"/>
          <c:tx>
            <c:strRef>
              <c:f>'Transaction By Amount'!$B$3</c:f>
              <c:strCache>
                <c:ptCount val="1"/>
                <c:pt idx="0">
                  <c:v>Total</c:v>
                </c:pt>
              </c:strCache>
            </c:strRef>
          </c:tx>
          <c:spPr>
            <a:solidFill>
              <a:schemeClr val="accent5">
                <a:lumMod val="50000"/>
              </a:schemeClr>
            </a:solidFill>
            <a:ln>
              <a:noFill/>
            </a:ln>
            <a:effectLst/>
          </c:spPr>
          <c:invertIfNegative val="0"/>
          <c:dPt>
            <c:idx val="0"/>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1-1934-4A6A-970D-7D933C03708C}"/>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1934-4A6A-970D-7D933C03708C}"/>
              </c:ext>
            </c:extLst>
          </c:dPt>
          <c:dPt>
            <c:idx val="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1934-4A6A-970D-7D933C03708C}"/>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1934-4A6A-970D-7D933C03708C}"/>
              </c:ext>
            </c:extLst>
          </c:dPt>
          <c:dPt>
            <c:idx val="4"/>
            <c:invertIfNegative val="0"/>
            <c:bubble3D val="0"/>
            <c:spPr>
              <a:solidFill>
                <a:schemeClr val="accent5">
                  <a:lumMod val="75000"/>
                </a:schemeClr>
              </a:solidFill>
              <a:ln>
                <a:noFill/>
              </a:ln>
              <a:effectLst/>
            </c:spPr>
            <c:extLst>
              <c:ext xmlns:c16="http://schemas.microsoft.com/office/drawing/2014/chart" uri="{C3380CC4-5D6E-409C-BE32-E72D297353CC}">
                <c16:uniqueId val="{00000009-1934-4A6A-970D-7D933C03708C}"/>
              </c:ext>
            </c:extLst>
          </c:dPt>
          <c:dPt>
            <c:idx val="5"/>
            <c:invertIfNegative val="0"/>
            <c:bubble3D val="0"/>
            <c:spPr>
              <a:solidFill>
                <a:schemeClr val="accent5">
                  <a:lumMod val="75000"/>
                </a:schemeClr>
              </a:solidFill>
              <a:ln>
                <a:noFill/>
              </a:ln>
              <a:effectLst/>
            </c:spPr>
            <c:extLst>
              <c:ext xmlns:c16="http://schemas.microsoft.com/office/drawing/2014/chart" uri="{C3380CC4-5D6E-409C-BE32-E72D297353CC}">
                <c16:uniqueId val="{0000000B-1934-4A6A-970D-7D933C0370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 By Amount'!$A$4:$A$11</c:f>
              <c:strCache>
                <c:ptCount val="7"/>
                <c:pt idx="0">
                  <c:v>7000-8000</c:v>
                </c:pt>
                <c:pt idx="1">
                  <c:v>6000-7000</c:v>
                </c:pt>
                <c:pt idx="2">
                  <c:v>4000-5000</c:v>
                </c:pt>
                <c:pt idx="3">
                  <c:v>3000-4000</c:v>
                </c:pt>
                <c:pt idx="4">
                  <c:v>2000-3000</c:v>
                </c:pt>
                <c:pt idx="5">
                  <c:v>1000-2000</c:v>
                </c:pt>
                <c:pt idx="6">
                  <c:v>0-1000</c:v>
                </c:pt>
              </c:strCache>
            </c:strRef>
          </c:cat>
          <c:val>
            <c:numRef>
              <c:f>'Transaction By Amount'!$B$4:$B$11</c:f>
              <c:numCache>
                <c:formatCode>@</c:formatCode>
                <c:ptCount val="7"/>
                <c:pt idx="0">
                  <c:v>1</c:v>
                </c:pt>
                <c:pt idx="1">
                  <c:v>2</c:v>
                </c:pt>
                <c:pt idx="2">
                  <c:v>8</c:v>
                </c:pt>
                <c:pt idx="3">
                  <c:v>24</c:v>
                </c:pt>
                <c:pt idx="4">
                  <c:v>31</c:v>
                </c:pt>
                <c:pt idx="5">
                  <c:v>85</c:v>
                </c:pt>
                <c:pt idx="6">
                  <c:v>218</c:v>
                </c:pt>
              </c:numCache>
            </c:numRef>
          </c:val>
          <c:extLst>
            <c:ext xmlns:c16="http://schemas.microsoft.com/office/drawing/2014/chart" uri="{C3380CC4-5D6E-409C-BE32-E72D297353CC}">
              <c16:uniqueId val="{0000000C-1934-4A6A-970D-7D933C03708C}"/>
            </c:ext>
          </c:extLst>
        </c:ser>
        <c:dLbls>
          <c:dLblPos val="outEnd"/>
          <c:showLegendKey val="0"/>
          <c:showVal val="1"/>
          <c:showCatName val="0"/>
          <c:showSerName val="0"/>
          <c:showPercent val="0"/>
          <c:showBubbleSize val="0"/>
        </c:dLbls>
        <c:gapWidth val="20"/>
        <c:axId val="1429293824"/>
        <c:axId val="1429290912"/>
      </c:barChart>
      <c:catAx>
        <c:axId val="142929382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290912"/>
        <c:crosses val="autoZero"/>
        <c:auto val="1"/>
        <c:lblAlgn val="ctr"/>
        <c:lblOffset val="100"/>
        <c:noMultiLvlLbl val="0"/>
      </c:catAx>
      <c:valAx>
        <c:axId val="1429290912"/>
        <c:scaling>
          <c:orientation val="minMax"/>
        </c:scaling>
        <c:delete val="1"/>
        <c:axPos val="r"/>
        <c:numFmt formatCode="@" sourceLinked="1"/>
        <c:majorTickMark val="none"/>
        <c:minorTickMark val="none"/>
        <c:tickLblPos val="nextTo"/>
        <c:crossAx val="1429293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18_Shittu Isau Ajemayowa.xlsx]Sales by Product Category!PivotTable1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Garamond" panose="02020404030301010803" pitchFamily="18" charset="0"/>
              </a:rPr>
              <a:t>Sales By</a:t>
            </a:r>
            <a:r>
              <a:rPr lang="en-US" b="1" baseline="0">
                <a:latin typeface="Garamond" panose="02020404030301010803" pitchFamily="18" charset="0"/>
              </a:rPr>
              <a:t> Product Category</a:t>
            </a:r>
            <a:endParaRPr lang="en-US" b="1">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5">
              <a:lumMod val="20000"/>
              <a:lumOff val="80000"/>
            </a:schemeClr>
          </a:solidFill>
          <a:ln>
            <a:noFill/>
          </a:ln>
          <a:effectLst/>
        </c:spPr>
      </c:pivotFmt>
      <c:pivotFmt>
        <c:idx val="6"/>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a:noFill/>
          </a:ln>
          <a:effectLst/>
        </c:spPr>
      </c:pivotFmt>
      <c:pivotFmt>
        <c:idx val="8"/>
        <c:spPr>
          <a:solidFill>
            <a:schemeClr val="accent5">
              <a:lumMod val="75000"/>
            </a:schemeClr>
          </a:solidFill>
          <a:ln>
            <a:noFill/>
          </a:ln>
          <a:effectLst/>
        </c:spPr>
      </c:pivotFmt>
      <c:pivotFmt>
        <c:idx val="9"/>
        <c:spPr>
          <a:solidFill>
            <a:schemeClr val="accent5">
              <a:lumMod val="60000"/>
              <a:lumOff val="40000"/>
            </a:schemeClr>
          </a:solidFill>
          <a:ln>
            <a:noFill/>
          </a:ln>
          <a:effectLst/>
        </c:spPr>
      </c:pivotFmt>
      <c:pivotFmt>
        <c:idx val="10"/>
        <c:spPr>
          <a:solidFill>
            <a:schemeClr val="accent5">
              <a:lumMod val="40000"/>
              <a:lumOff val="60000"/>
            </a:schemeClr>
          </a:solidFill>
          <a:ln>
            <a:noFill/>
          </a:ln>
          <a:effectLst/>
        </c:spPr>
      </c:pivotFmt>
      <c:pivotFmt>
        <c:idx val="11"/>
        <c:spPr>
          <a:solidFill>
            <a:schemeClr val="accent5">
              <a:lumMod val="20000"/>
              <a:lumOff val="80000"/>
            </a:schemeClr>
          </a:solidFill>
          <a:ln>
            <a:noFill/>
          </a:ln>
          <a:effectLst/>
        </c:spPr>
      </c:pivotFmt>
      <c:pivotFmt>
        <c:idx val="1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20000"/>
              <a:lumOff val="80000"/>
            </a:schemeClr>
          </a:solidFill>
          <a:ln>
            <a:noFill/>
          </a:ln>
          <a:effectLst/>
        </c:spPr>
      </c:pivotFmt>
      <c:pivotFmt>
        <c:idx val="17"/>
        <c:spPr>
          <a:solidFill>
            <a:schemeClr val="accent5">
              <a:lumMod val="20000"/>
              <a:lumOff val="80000"/>
            </a:schemeClr>
          </a:solidFill>
          <a:ln>
            <a:solidFill>
              <a:schemeClr val="accent5">
                <a:lumMod val="20000"/>
                <a:lumOff val="80000"/>
              </a:schemeClr>
            </a:solidFill>
          </a:ln>
          <a:effectLst/>
        </c:spPr>
      </c:pivotFmt>
      <c:pivotFmt>
        <c:idx val="18"/>
        <c:dLbl>
          <c:idx val="0"/>
          <c:layout>
            <c:manualLayout>
              <c:x val="-9.26909364868201E-3"/>
              <c:y val="0.126551402788290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Product Category'!$B$3</c:f>
              <c:strCache>
                <c:ptCount val="1"/>
                <c:pt idx="0">
                  <c:v>Total</c:v>
                </c:pt>
              </c:strCache>
            </c:strRef>
          </c:tx>
          <c:spPr>
            <a:solidFill>
              <a:schemeClr val="accent5">
                <a:lumMod val="50000"/>
              </a:schemeClr>
            </a:solidFill>
            <a:ln>
              <a:noFill/>
            </a:ln>
            <a:effectLst/>
          </c:spPr>
          <c:invertIfNegative val="0"/>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1-E7BE-4876-89E4-2C028EB6809A}"/>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E7BE-4876-89E4-2C028EB6809A}"/>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E7BE-4876-89E4-2C028EB6809A}"/>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7-E7BE-4876-89E4-2C028EB6809A}"/>
              </c:ext>
            </c:extLst>
          </c:dPt>
          <c:dPt>
            <c:idx val="5"/>
            <c:invertIfNegative val="0"/>
            <c:bubble3D val="0"/>
            <c:spPr>
              <a:solidFill>
                <a:schemeClr val="accent5">
                  <a:lumMod val="20000"/>
                  <a:lumOff val="80000"/>
                </a:schemeClr>
              </a:solidFill>
              <a:ln>
                <a:solidFill>
                  <a:schemeClr val="accent5">
                    <a:lumMod val="20000"/>
                    <a:lumOff val="80000"/>
                  </a:schemeClr>
                </a:solidFill>
              </a:ln>
              <a:effectLst/>
            </c:spPr>
            <c:extLst>
              <c:ext xmlns:c16="http://schemas.microsoft.com/office/drawing/2014/chart" uri="{C3380CC4-5D6E-409C-BE32-E72D297353CC}">
                <c16:uniqueId val="{00000009-E7BE-4876-89E4-2C028EB680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Category'!$A$4:$A$10</c:f>
              <c:strCache>
                <c:ptCount val="6"/>
                <c:pt idx="0">
                  <c:v>Beverages</c:v>
                </c:pt>
                <c:pt idx="1">
                  <c:v>Sauces</c:v>
                </c:pt>
                <c:pt idx="2">
                  <c:v>Jams, Preserves</c:v>
                </c:pt>
                <c:pt idx="3">
                  <c:v>Dairy Products</c:v>
                </c:pt>
                <c:pt idx="4">
                  <c:v>Dried Fruit &amp; Nuts</c:v>
                </c:pt>
                <c:pt idx="5">
                  <c:v>Canned Meat</c:v>
                </c:pt>
              </c:strCache>
            </c:strRef>
          </c:cat>
          <c:val>
            <c:numRef>
              <c:f>'Sales by Product Category'!$B$4:$B$10</c:f>
              <c:numCache>
                <c:formatCode>"$"#,##0.00</c:formatCode>
                <c:ptCount val="6"/>
                <c:pt idx="0">
                  <c:v>110577.10999999999</c:v>
                </c:pt>
                <c:pt idx="1">
                  <c:v>69000</c:v>
                </c:pt>
                <c:pt idx="2">
                  <c:v>51541</c:v>
                </c:pt>
                <c:pt idx="3">
                  <c:v>33129.600000000006</c:v>
                </c:pt>
                <c:pt idx="4">
                  <c:v>27999.5</c:v>
                </c:pt>
                <c:pt idx="5">
                  <c:v>25465.599999999999</c:v>
                </c:pt>
              </c:numCache>
            </c:numRef>
          </c:val>
          <c:extLst>
            <c:ext xmlns:c16="http://schemas.microsoft.com/office/drawing/2014/chart" uri="{C3380CC4-5D6E-409C-BE32-E72D297353CC}">
              <c16:uniqueId val="{0000000A-E7BE-4876-89E4-2C028EB6809A}"/>
            </c:ext>
          </c:extLst>
        </c:ser>
        <c:dLbls>
          <c:dLblPos val="outEnd"/>
          <c:showLegendKey val="0"/>
          <c:showVal val="1"/>
          <c:showCatName val="0"/>
          <c:showSerName val="0"/>
          <c:showPercent val="0"/>
          <c:showBubbleSize val="0"/>
        </c:dLbls>
        <c:gapWidth val="20"/>
        <c:axId val="1429293824"/>
        <c:axId val="1429290912"/>
      </c:barChart>
      <c:catAx>
        <c:axId val="142929382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290912"/>
        <c:crosses val="autoZero"/>
        <c:auto val="1"/>
        <c:lblAlgn val="ctr"/>
        <c:lblOffset val="100"/>
        <c:noMultiLvlLbl val="0"/>
      </c:catAx>
      <c:valAx>
        <c:axId val="1429290912"/>
        <c:scaling>
          <c:orientation val="minMax"/>
        </c:scaling>
        <c:delete val="1"/>
        <c:axPos val="t"/>
        <c:numFmt formatCode="&quot;$&quot;#,##0.00" sourceLinked="1"/>
        <c:majorTickMark val="none"/>
        <c:minorTickMark val="none"/>
        <c:tickLblPos val="nextTo"/>
        <c:crossAx val="1429293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18_Shittu Isau Ajemayowa.xlsx]Sales_By_Rep!PivotTable1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Garamond" panose="02020404030301010803" pitchFamily="18" charset="0"/>
              </a:rPr>
              <a:t>Sales Performance</a:t>
            </a:r>
            <a:r>
              <a:rPr lang="en-US" sz="1400" b="1" baseline="0">
                <a:latin typeface="Garamond" panose="02020404030301010803" pitchFamily="18" charset="0"/>
              </a:rPr>
              <a:t> Analysis by Reps</a:t>
            </a:r>
            <a:endParaRPr lang="en-US" sz="1400" b="1">
              <a:latin typeface="Garamond" panose="02020404030301010803" pitchFamily="18" charset="0"/>
            </a:endParaRPr>
          </a:p>
        </c:rich>
      </c:tx>
      <c:overlay val="0"/>
      <c:spPr>
        <a:noFill/>
        <a:ln>
          <a:solidFill>
            <a:schemeClr val="bg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60000"/>
              <a:lumOff val="40000"/>
            </a:schemeClr>
          </a:solidFill>
          <a:ln>
            <a:noFill/>
          </a:ln>
          <a:effectLst/>
        </c:spPr>
      </c:pivotFmt>
      <c:pivotFmt>
        <c:idx val="12"/>
        <c:spPr>
          <a:solidFill>
            <a:schemeClr val="accent5">
              <a:lumMod val="60000"/>
              <a:lumOff val="40000"/>
            </a:schemeClr>
          </a:solidFill>
          <a:ln>
            <a:noFill/>
          </a:ln>
          <a:effectLst/>
        </c:spPr>
      </c:pivotFmt>
      <c:pivotFmt>
        <c:idx val="13"/>
        <c:spPr>
          <a:solidFill>
            <a:schemeClr val="accent5">
              <a:lumMod val="40000"/>
              <a:lumOff val="60000"/>
            </a:schemeClr>
          </a:solidFill>
          <a:ln>
            <a:noFill/>
          </a:ln>
          <a:effectLst/>
        </c:spPr>
      </c:pivotFmt>
      <c:pivotFmt>
        <c:idx val="14"/>
        <c:spPr>
          <a:solidFill>
            <a:schemeClr val="accent5">
              <a:lumMod val="40000"/>
              <a:lumOff val="60000"/>
            </a:schemeClr>
          </a:solidFill>
          <a:ln>
            <a:noFill/>
          </a:ln>
          <a:effectLst/>
        </c:spPr>
      </c:pivotFmt>
      <c:pivotFmt>
        <c:idx val="15"/>
        <c:spPr>
          <a:solidFill>
            <a:schemeClr val="accent5">
              <a:lumMod val="20000"/>
              <a:lumOff val="80000"/>
            </a:schemeClr>
          </a:solidFill>
          <a:ln>
            <a:noFill/>
          </a:ln>
          <a:effectLst/>
        </c:spPr>
      </c:pivotFmt>
      <c:pivotFmt>
        <c:idx val="16"/>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50000"/>
            </a:schemeClr>
          </a:solidFill>
          <a:ln>
            <a:noFill/>
          </a:ln>
          <a:effectLst/>
        </c:spPr>
      </c:pivotFmt>
      <c:pivotFmt>
        <c:idx val="18"/>
        <c:spPr>
          <a:solidFill>
            <a:schemeClr val="accent5">
              <a:lumMod val="60000"/>
              <a:lumOff val="40000"/>
            </a:schemeClr>
          </a:solidFill>
          <a:ln>
            <a:noFill/>
          </a:ln>
          <a:effectLst/>
        </c:spPr>
      </c:pivotFmt>
      <c:pivotFmt>
        <c:idx val="19"/>
        <c:spPr>
          <a:solidFill>
            <a:schemeClr val="accent5">
              <a:lumMod val="60000"/>
              <a:lumOff val="40000"/>
            </a:schemeClr>
          </a:solidFill>
          <a:ln>
            <a:noFill/>
          </a:ln>
          <a:effectLst/>
        </c:spPr>
      </c:pivotFmt>
      <c:pivotFmt>
        <c:idx val="20"/>
        <c:spPr>
          <a:solidFill>
            <a:schemeClr val="accent5">
              <a:lumMod val="40000"/>
              <a:lumOff val="6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5">
              <a:lumMod val="20000"/>
              <a:lumOff val="80000"/>
            </a:schemeClr>
          </a:solidFill>
          <a:ln>
            <a:noFill/>
          </a:ln>
          <a:effectLst/>
        </c:spPr>
      </c:pivotFmt>
    </c:pivotFmts>
    <c:plotArea>
      <c:layout>
        <c:manualLayout>
          <c:layoutTarget val="inner"/>
          <c:xMode val="edge"/>
          <c:yMode val="edge"/>
          <c:x val="0.19082347550157294"/>
          <c:y val="0.17771057831776799"/>
          <c:w val="0.76513031673168463"/>
          <c:h val="0.82228942168223207"/>
        </c:manualLayout>
      </c:layout>
      <c:barChart>
        <c:barDir val="bar"/>
        <c:grouping val="clustered"/>
        <c:varyColors val="0"/>
        <c:ser>
          <c:idx val="0"/>
          <c:order val="0"/>
          <c:tx>
            <c:strRef>
              <c:f>Sales_By_Rep!$B$3</c:f>
              <c:strCache>
                <c:ptCount val="1"/>
                <c:pt idx="0">
                  <c:v>Total</c:v>
                </c:pt>
              </c:strCache>
            </c:strRef>
          </c:tx>
          <c:spPr>
            <a:solidFill>
              <a:schemeClr val="accent5">
                <a:lumMod val="75000"/>
              </a:schemeClr>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B398-48B8-B2A8-A8D24BC6115A}"/>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B398-48B8-B2A8-A8D24BC6115A}"/>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398-48B8-B2A8-A8D24BC6115A}"/>
              </c:ext>
            </c:extLst>
          </c:dPt>
          <c:dPt>
            <c:idx val="5"/>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B398-48B8-B2A8-A8D24BC6115A}"/>
              </c:ext>
            </c:extLst>
          </c:dPt>
          <c:dPt>
            <c:idx val="6"/>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9-B398-48B8-B2A8-A8D24BC6115A}"/>
              </c:ext>
            </c:extLst>
          </c:dPt>
          <c:dPt>
            <c:idx val="7"/>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B-B398-48B8-B2A8-A8D24BC6115A}"/>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Sales_By_Rep!$A$4:$A$12</c:f>
              <c:strCache>
                <c:ptCount val="8"/>
                <c:pt idx="0">
                  <c:v>Nancy Freehafer</c:v>
                </c:pt>
                <c:pt idx="1">
                  <c:v>Anne Larsen</c:v>
                </c:pt>
                <c:pt idx="2">
                  <c:v>Andrew Cencini</c:v>
                </c:pt>
                <c:pt idx="3">
                  <c:v>Mariya Sergienko</c:v>
                </c:pt>
                <c:pt idx="4">
                  <c:v>Laura Giussani</c:v>
                </c:pt>
                <c:pt idx="5">
                  <c:v>Michael Neipper</c:v>
                </c:pt>
                <c:pt idx="6">
                  <c:v>Robert Zare</c:v>
                </c:pt>
                <c:pt idx="7">
                  <c:v>Jan Kotas</c:v>
                </c:pt>
              </c:strCache>
            </c:strRef>
          </c:cat>
          <c:val>
            <c:numRef>
              <c:f>Sales_By_Rep!$B$4:$B$12</c:f>
              <c:numCache>
                <c:formatCode>"$"#,##0.00</c:formatCode>
                <c:ptCount val="8"/>
                <c:pt idx="0">
                  <c:v>104252.33999999997</c:v>
                </c:pt>
                <c:pt idx="1">
                  <c:v>93858.329999999987</c:v>
                </c:pt>
                <c:pt idx="2">
                  <c:v>67180.5</c:v>
                </c:pt>
                <c:pt idx="3">
                  <c:v>42370.880000000005</c:v>
                </c:pt>
                <c:pt idx="4">
                  <c:v>41095.01</c:v>
                </c:pt>
                <c:pt idx="5">
                  <c:v>37428</c:v>
                </c:pt>
                <c:pt idx="6">
                  <c:v>32530.6</c:v>
                </c:pt>
                <c:pt idx="7">
                  <c:v>16350.5</c:v>
                </c:pt>
              </c:numCache>
            </c:numRef>
          </c:val>
          <c:extLst>
            <c:ext xmlns:c16="http://schemas.microsoft.com/office/drawing/2014/chart" uri="{C3380CC4-5D6E-409C-BE32-E72D297353CC}">
              <c16:uniqueId val="{0000000C-B398-48B8-B2A8-A8D24BC6115A}"/>
            </c:ext>
          </c:extLst>
        </c:ser>
        <c:dLbls>
          <c:dLblPos val="outEnd"/>
          <c:showLegendKey val="0"/>
          <c:showVal val="1"/>
          <c:showCatName val="0"/>
          <c:showSerName val="0"/>
          <c:showPercent val="0"/>
          <c:showBubbleSize val="0"/>
        </c:dLbls>
        <c:gapWidth val="20"/>
        <c:axId val="174273631"/>
        <c:axId val="174274111"/>
      </c:barChart>
      <c:catAx>
        <c:axId val="17427363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174274111"/>
        <c:crosses val="autoZero"/>
        <c:auto val="1"/>
        <c:lblAlgn val="ctr"/>
        <c:lblOffset val="100"/>
        <c:noMultiLvlLbl val="0"/>
      </c:catAx>
      <c:valAx>
        <c:axId val="174274111"/>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17427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18_Shittu Isau Ajemayowa.xlsx]Top 10 Customers!PivotTable1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Garamond" panose="02020404030301010803" pitchFamily="18" charset="0"/>
              </a:rPr>
              <a:t>Top 10 Customers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5">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50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75000"/>
            </a:schemeClr>
          </a:solidFill>
          <a:ln>
            <a:noFill/>
          </a:ln>
          <a:effectLst/>
        </c:spPr>
      </c:pivotFmt>
      <c:pivotFmt>
        <c:idx val="15"/>
        <c:spPr>
          <a:solidFill>
            <a:schemeClr val="accent5">
              <a:lumMod val="75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60000"/>
              <a:lumOff val="40000"/>
            </a:schemeClr>
          </a:solidFill>
          <a:ln>
            <a:noFill/>
          </a:ln>
          <a:effectLst/>
        </c:spPr>
      </c:pivotFmt>
      <c:pivotFmt>
        <c:idx val="18"/>
        <c:spPr>
          <a:solidFill>
            <a:schemeClr val="accent5">
              <a:lumMod val="40000"/>
              <a:lumOff val="6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5">
              <a:lumMod val="20000"/>
              <a:lumOff val="8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75000"/>
            </a:schemeClr>
          </a:solidFill>
          <a:ln>
            <a:noFill/>
          </a:ln>
          <a:effectLst/>
        </c:spPr>
      </c:pivotFmt>
      <c:pivotFmt>
        <c:idx val="26"/>
        <c:spPr>
          <a:solidFill>
            <a:schemeClr val="accent5">
              <a:lumMod val="75000"/>
            </a:schemeClr>
          </a:solidFill>
          <a:ln>
            <a:noFill/>
          </a:ln>
          <a:effectLst/>
        </c:spPr>
      </c:pivotFmt>
      <c:pivotFmt>
        <c:idx val="27"/>
        <c:spPr>
          <a:solidFill>
            <a:schemeClr val="accent5">
              <a:lumMod val="60000"/>
              <a:lumOff val="40000"/>
            </a:schemeClr>
          </a:solidFill>
          <a:ln>
            <a:noFill/>
          </a:ln>
          <a:effectLst/>
        </c:spPr>
      </c:pivotFmt>
      <c:pivotFmt>
        <c:idx val="28"/>
        <c:spPr>
          <a:solidFill>
            <a:schemeClr val="accent5">
              <a:lumMod val="60000"/>
              <a:lumOff val="40000"/>
            </a:schemeClr>
          </a:solidFill>
          <a:ln>
            <a:noFill/>
          </a:ln>
          <a:effectLst/>
        </c:spPr>
      </c:pivotFmt>
      <c:pivotFmt>
        <c:idx val="29"/>
        <c:spPr>
          <a:solidFill>
            <a:schemeClr val="accent5">
              <a:lumMod val="40000"/>
              <a:lumOff val="60000"/>
            </a:schemeClr>
          </a:solidFill>
          <a:ln>
            <a:noFill/>
          </a:ln>
          <a:effectLst/>
        </c:spPr>
      </c:pivotFmt>
      <c:pivotFmt>
        <c:idx val="30"/>
        <c:spPr>
          <a:solidFill>
            <a:schemeClr val="accent5">
              <a:lumMod val="40000"/>
              <a:lumOff val="60000"/>
            </a:schemeClr>
          </a:solidFill>
          <a:ln>
            <a:noFill/>
          </a:ln>
          <a:effectLst/>
        </c:spPr>
      </c:pivotFmt>
      <c:pivotFmt>
        <c:idx val="31"/>
        <c:spPr>
          <a:solidFill>
            <a:schemeClr val="accent5">
              <a:lumMod val="20000"/>
              <a:lumOff val="80000"/>
            </a:schemeClr>
          </a:solidFill>
          <a:ln>
            <a:noFill/>
          </a:ln>
          <a:effectLst/>
        </c:spPr>
      </c:pivotFmt>
      <c:pivotFmt>
        <c:idx val="32"/>
        <c:spPr>
          <a:solidFill>
            <a:schemeClr val="accent5">
              <a:lumMod val="20000"/>
              <a:lumOff val="80000"/>
            </a:schemeClr>
          </a:solidFill>
          <a:ln>
            <a:noFill/>
          </a:ln>
          <a:effectLst/>
        </c:spPr>
      </c:pivotFmt>
    </c:pivotFmts>
    <c:plotArea>
      <c:layout/>
      <c:barChart>
        <c:barDir val="bar"/>
        <c:grouping val="clustered"/>
        <c:varyColors val="0"/>
        <c:ser>
          <c:idx val="0"/>
          <c:order val="0"/>
          <c:tx>
            <c:strRef>
              <c:f>'Top 10 Customers'!$B$3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7ACF-47E1-8582-FF2F6588A702}"/>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7ACF-47E1-8582-FF2F6588A702}"/>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7ACF-47E1-8582-FF2F6588A702}"/>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7ACF-47E1-8582-FF2F6588A702}"/>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9-7ACF-47E1-8582-FF2F6588A702}"/>
              </c:ext>
            </c:extLst>
          </c:dPt>
          <c:dPt>
            <c:idx val="5"/>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B-7ACF-47E1-8582-FF2F6588A702}"/>
              </c:ext>
            </c:extLst>
          </c:dPt>
          <c:dPt>
            <c:idx val="6"/>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D-7ACF-47E1-8582-FF2F6588A702}"/>
              </c:ext>
            </c:extLst>
          </c:dPt>
          <c:dPt>
            <c:idx val="7"/>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F-7ACF-47E1-8582-FF2F6588A702}"/>
              </c:ext>
            </c:extLst>
          </c:dPt>
          <c:dPt>
            <c:idx val="8"/>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11-7ACF-47E1-8582-FF2F6588A702}"/>
              </c:ext>
            </c:extLst>
          </c:dPt>
          <c:dPt>
            <c:idx val="9"/>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13-7ACF-47E1-8582-FF2F6588A7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Customers'!$A$4:$A$14</c:f>
              <c:strCache>
                <c:ptCount val="10"/>
                <c:pt idx="0">
                  <c:v>Company D</c:v>
                </c:pt>
                <c:pt idx="1">
                  <c:v>Company H</c:v>
                </c:pt>
                <c:pt idx="2">
                  <c:v>Company BB</c:v>
                </c:pt>
                <c:pt idx="3">
                  <c:v>Company F</c:v>
                </c:pt>
                <c:pt idx="4">
                  <c:v>Company A</c:v>
                </c:pt>
                <c:pt idx="5">
                  <c:v>Company I</c:v>
                </c:pt>
                <c:pt idx="6">
                  <c:v>Company J</c:v>
                </c:pt>
                <c:pt idx="7">
                  <c:v>Company Z</c:v>
                </c:pt>
                <c:pt idx="8">
                  <c:v>Company C</c:v>
                </c:pt>
                <c:pt idx="9">
                  <c:v>Company K</c:v>
                </c:pt>
              </c:strCache>
            </c:strRef>
          </c:cat>
          <c:val>
            <c:numRef>
              <c:f>'Top 10 Customers'!$B$4:$B$14</c:f>
              <c:numCache>
                <c:formatCode>"$"#,##0.00</c:formatCode>
                <c:ptCount val="10"/>
                <c:pt idx="0">
                  <c:v>67180.5</c:v>
                </c:pt>
                <c:pt idx="1">
                  <c:v>50208.35</c:v>
                </c:pt>
                <c:pt idx="2">
                  <c:v>43713</c:v>
                </c:pt>
                <c:pt idx="3">
                  <c:v>37428</c:v>
                </c:pt>
                <c:pt idx="4">
                  <c:v>36839.990000000005</c:v>
                </c:pt>
                <c:pt idx="5">
                  <c:v>32530.6</c:v>
                </c:pt>
                <c:pt idx="6">
                  <c:v>29133.009999999995</c:v>
                </c:pt>
                <c:pt idx="7">
                  <c:v>28208.250000000007</c:v>
                </c:pt>
                <c:pt idx="8">
                  <c:v>27005.38</c:v>
                </c:pt>
                <c:pt idx="9">
                  <c:v>21937.08</c:v>
                </c:pt>
              </c:numCache>
            </c:numRef>
          </c:val>
          <c:extLst>
            <c:ext xmlns:c16="http://schemas.microsoft.com/office/drawing/2014/chart" uri="{C3380CC4-5D6E-409C-BE32-E72D297353CC}">
              <c16:uniqueId val="{00000014-7ACF-47E1-8582-FF2F6588A702}"/>
            </c:ext>
          </c:extLst>
        </c:ser>
        <c:dLbls>
          <c:dLblPos val="outEnd"/>
          <c:showLegendKey val="0"/>
          <c:showVal val="1"/>
          <c:showCatName val="0"/>
          <c:showSerName val="0"/>
          <c:showPercent val="0"/>
          <c:showBubbleSize val="0"/>
        </c:dLbls>
        <c:gapWidth val="20"/>
        <c:axId val="655223263"/>
        <c:axId val="655224703"/>
      </c:barChart>
      <c:catAx>
        <c:axId val="65522326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224703"/>
        <c:crosses val="autoZero"/>
        <c:auto val="1"/>
        <c:lblAlgn val="ctr"/>
        <c:lblOffset val="100"/>
        <c:noMultiLvlLbl val="0"/>
      </c:catAx>
      <c:valAx>
        <c:axId val="655224703"/>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65522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18_Shittu Isau Ajemayowa.xlsx]Sales_By_Regions!PivotTable1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Sales by</a:t>
            </a:r>
            <a:r>
              <a:rPr lang="en-US" baseline="0">
                <a:latin typeface="Garamond" panose="02020404030301010803" pitchFamily="18" charset="0"/>
              </a:rPr>
              <a:t>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w="19050">
            <a:solidFill>
              <a:schemeClr val="lt1"/>
            </a:solidFill>
          </a:ln>
          <a:effectLst/>
        </c:spPr>
      </c:pivotFmt>
      <c:pivotFmt>
        <c:idx val="2"/>
        <c:spPr>
          <a:solidFill>
            <a:schemeClr val="accent5">
              <a:lumMod val="60000"/>
              <a:lumOff val="40000"/>
            </a:schemeClr>
          </a:solidFill>
          <a:ln w="19050">
            <a:solidFill>
              <a:schemeClr val="lt1"/>
            </a:solidFill>
          </a:ln>
          <a:effectLst/>
        </c:spPr>
      </c:pivotFmt>
      <c:pivotFmt>
        <c:idx val="3"/>
        <c:spPr>
          <a:solidFill>
            <a:schemeClr val="accent5">
              <a:lumMod val="40000"/>
              <a:lumOff val="60000"/>
            </a:schemeClr>
          </a:solidFill>
          <a:ln w="19050">
            <a:solidFill>
              <a:schemeClr val="lt1"/>
            </a:solidFill>
          </a:ln>
          <a:effectLst/>
        </c:spPr>
      </c:pivotFmt>
      <c:pivotFmt>
        <c:idx val="4"/>
        <c:spPr>
          <a:solidFill>
            <a:schemeClr val="accent5">
              <a:lumMod val="50000"/>
            </a:schemeClr>
          </a:solidFill>
          <a:ln w="19050">
            <a:solidFill>
              <a:schemeClr val="lt1"/>
            </a:solidFill>
          </a:ln>
          <a:effectLst/>
        </c:spPr>
      </c:pivotFmt>
      <c:pivotFmt>
        <c:idx val="5"/>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w="19050">
            <a:solidFill>
              <a:schemeClr val="lt1"/>
            </a:solidFill>
          </a:ln>
          <a:effectLst/>
        </c:spPr>
      </c:pivotFmt>
      <c:pivotFmt>
        <c:idx val="7"/>
        <c:spPr>
          <a:solidFill>
            <a:schemeClr val="accent5">
              <a:lumMod val="50000"/>
            </a:schemeClr>
          </a:solidFill>
          <a:ln w="19050">
            <a:solidFill>
              <a:schemeClr val="lt1"/>
            </a:solidFill>
          </a:ln>
          <a:effectLst/>
        </c:spPr>
      </c:pivotFmt>
      <c:pivotFmt>
        <c:idx val="8"/>
        <c:spPr>
          <a:solidFill>
            <a:schemeClr val="accent5">
              <a:lumMod val="60000"/>
              <a:lumOff val="40000"/>
            </a:schemeClr>
          </a:solidFill>
          <a:ln w="19050">
            <a:solidFill>
              <a:schemeClr val="lt1"/>
            </a:solidFill>
          </a:ln>
          <a:effectLst/>
        </c:spPr>
      </c:pivotFmt>
      <c:pivotFmt>
        <c:idx val="9"/>
        <c:spPr>
          <a:solidFill>
            <a:schemeClr val="accent5">
              <a:lumMod val="40000"/>
              <a:lumOff val="60000"/>
            </a:schemeClr>
          </a:solidFill>
          <a:ln w="19050">
            <a:solidFill>
              <a:schemeClr val="lt1"/>
            </a:solidFill>
          </a:ln>
          <a:effectLst/>
        </c:spPr>
      </c:pivotFmt>
      <c:pivotFmt>
        <c:idx val="10"/>
        <c:spPr>
          <a:solidFill>
            <a:schemeClr val="accent5">
              <a:lumMod val="50000"/>
            </a:schemeClr>
          </a:solidFill>
          <a:ln w="19050">
            <a:solidFill>
              <a:schemeClr val="lt1"/>
            </a:solid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accent5">
              <a:lumMod val="60000"/>
              <a:lumOff val="40000"/>
            </a:schemeClr>
          </a:solidFill>
          <a:ln w="19050">
            <a:solidFill>
              <a:schemeClr val="lt1"/>
            </a:solidFill>
          </a:ln>
          <a:effectLst/>
        </c:spPr>
      </c:pivotFmt>
      <c:pivotFmt>
        <c:idx val="14"/>
        <c:spPr>
          <a:solidFill>
            <a:schemeClr val="accent5">
              <a:lumMod val="40000"/>
              <a:lumOff val="60000"/>
            </a:schemeClr>
          </a:solidFill>
          <a:ln w="19050">
            <a:solidFill>
              <a:schemeClr val="lt1"/>
            </a:solidFill>
          </a:ln>
          <a:effectLst/>
        </c:spPr>
      </c:pivotFmt>
    </c:pivotFmts>
    <c:plotArea>
      <c:layout/>
      <c:pieChart>
        <c:varyColors val="1"/>
        <c:ser>
          <c:idx val="0"/>
          <c:order val="0"/>
          <c:tx>
            <c:strRef>
              <c:f>Sales_By_Regions!$B$3</c:f>
              <c:strCache>
                <c:ptCount val="1"/>
                <c:pt idx="0">
                  <c:v>Total</c:v>
                </c:pt>
              </c:strCache>
            </c:strRef>
          </c:tx>
          <c:spPr>
            <a:solidFill>
              <a:schemeClr val="accent5">
                <a:lumMod val="50000"/>
              </a:schemeClr>
            </a:solidFill>
          </c:spPr>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9ED4-4A64-A86E-9BDA6FE7314C}"/>
              </c:ext>
            </c:extLst>
          </c:dPt>
          <c:dPt>
            <c:idx val="1"/>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3-9ED4-4A64-A86E-9BDA6FE7314C}"/>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5-9ED4-4A64-A86E-9BDA6FE7314C}"/>
              </c:ext>
            </c:extLst>
          </c:dPt>
          <c:dPt>
            <c:idx val="3"/>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7-9ED4-4A64-A86E-9BDA6FE7314C}"/>
              </c:ext>
            </c:extLst>
          </c:dPt>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Sales_By_Regions!$A$4:$A$8</c:f>
              <c:strCache>
                <c:ptCount val="4"/>
                <c:pt idx="0">
                  <c:v>North</c:v>
                </c:pt>
                <c:pt idx="1">
                  <c:v>East</c:v>
                </c:pt>
                <c:pt idx="2">
                  <c:v>South</c:v>
                </c:pt>
                <c:pt idx="3">
                  <c:v>West</c:v>
                </c:pt>
              </c:strCache>
            </c:strRef>
          </c:cat>
          <c:val>
            <c:numRef>
              <c:f>Sales_By_Regions!$B$4:$B$8</c:f>
              <c:numCache>
                <c:formatCode>"$"#,##0.00</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08-9ED4-4A64-A86E-9BDA6FE7314C}"/>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effectLst/>
                <a:latin typeface="Garamond" panose="02020404030301010803" pitchFamily="18" charset="0"/>
                <a:ea typeface="Calibri" panose="020F0502020204030204" pitchFamily="34" charset="0"/>
                <a:cs typeface="Calibri" panose="020F0502020204030204" pitchFamily="34" charset="0"/>
              </a:rPr>
              <a:t>Performance By State</a:t>
            </a:r>
            <a:endParaRPr lang="en-US" sz="1400" b="0" i="0" u="none" strike="noStrike" baseline="0">
              <a:solidFill>
                <a:sysClr val="windowText" lastClr="000000">
                  <a:lumMod val="65000"/>
                  <a:lumOff val="35000"/>
                </a:sysClr>
              </a:solidFill>
              <a:latin typeface="Garamond" panose="02020404030301010803" pitchFamily="18" charset="0"/>
            </a:endParaRPr>
          </a:p>
        </cx:rich>
      </cx:tx>
    </cx:title>
    <cx:plotArea>
      <cx:plotAreaRegion>
        <cx:series layoutId="regionMap" uniqueId="{9CC69E10-6DAC-47C5-8385-88E1AA84E816}">
          <cx:tx>
            <cx:txData>
              <cx:f>_xlchart.v5.2</cx:f>
              <cx:v>Revenue generated</cx:v>
            </cx:txData>
          </cx:tx>
          <cx:spPr>
            <a:solidFill>
              <a:schemeClr val="accent1">
                <a:lumMod val="20000"/>
                <a:lumOff val="80000"/>
              </a:schemeClr>
            </a:solidFill>
          </cx:spPr>
          <cx:dataLabels>
            <cx:spPr>
              <a:effectLst>
                <a:softEdge rad="101600"/>
              </a:effectLst>
            </cx:spPr>
            <cx:visibility seriesName="0" categoryName="1" value="1"/>
            <cx:separator>, </cx:separator>
            <cx:dataLabel idx="0">
              <cx:visibility seriesName="0" categoryName="1" value="1"/>
              <cx:separator>, </cx:separator>
            </cx:dataLabel>
            <cx:dataLabel idx="2">
              <cx:visibility seriesName="0" categoryName="1" value="1"/>
              <cx:separator>, </cx:separator>
            </cx:dataLabel>
          </cx:dataLabels>
          <cx:dataId val="0"/>
          <cx:layoutPr>
            <cx:regionLabelLayout val="bestFitOnly"/>
            <cx:geography cultureLanguage="en-US" cultureRegion="NG" attribution="Powered by Bing">
              <cx:geoCache provider="{E9337A44-BEBE-4D9F-B70C-5C5E7DAFC167}">
                <cx:binary>7Hxrb9xG0u5fCfz5UOl7sxebBQ45M9Loaku2HPtLQ5YUNskm2Ww2r7/+LVq2I0+8ypvFAgcBjhF4
PCSb3XWveqom/7yf/nFvH+/8T1Nl6+4f99Mvr0wI7h8//9zdm8fqrjuq8nvfdM1v4ei+qX5ufvst
v3/8+cHfjXmd/UwQZj/fmzsfHqdX//onvC17bM6b+7uQN/Wb/tHP149db0P3wr0f3vrp7qHK603e
BZ/fB/zLq8sPr356rEMe5reze/zl1Xf3X/308+Fb/rDjTxYOFfoHWMvIkaKKMEoJ+vyHvvrJNnX2
5XYk+ZGAO1xgpj7/EV/3vryrYP3l4/jTh8aXX6/+6ESfz3P38OAfuw6I+fz5fOV3538i777p67By
LAPm/fLqXZ2Hx4efbsJdeOxe/ZR3Tfr0QNqsRLy7+Uz1z9/z/F//PLgAfDi48kwsh0z7s1t/kMq7
ty/x4K9JhaojSqiUgvAnqZDvpYIxPhIyJoSIA3m8C3fmpXP8WBZPqw7ksBL0N5TD+//7Ev1/TQ5M
HjGMKZexfNJ+eSAHgo44FyxGDH8WFP6695N1vL/rDPiG0NRfr//v7eP52gPJrCT+HSWzf4kLf1Ey
7EhQpTgV6Eky6nvJxOpIUqI4V/SbX3vymV8kk3f3Td3l/4lgfl96KBcg8G8ol6vr/6JcKMSTWMSC
ih/KBX+2mBiM6sBUrvxj9p+Yydd1B6JYafobimK/+S+Kgh3RWCFJGH4SRfy9iWAMNgT2IWPEv+76
ZBz7hzvTfL30v/dYX5YdSGIl6W8oid35Swz4a86KxEccXBEWXwShDp0VOWKxpIzEP3ZWO9v4/OHu
pQP9OK5/W3ggk5W4v6FM3l6+xIK/JhPKj2JGlEJx/MMUKxZHlFHCBBM/DCBvH+sa8tnHx5eO9GOp
PFt6IJeVwL+BXF4+4vPS5Lsn/2JpAkkwR5B7MSq/SeB5aaLUEcIxhTTgS2nCvoriyYsdFA3//lg/
ltLB8u8o+XtUJPv/ogtj6AhDIBExe5IFOqhIIN/CDKI+j/m3uP8839pbm9dNDsXbczl8p/5PRfMf
6sTfV3739C+vVvL+hlJJIXn/9zz4i05MHhHOhFBYPYkFkqrnJoKxOhJYEom/5gBf934ykfTO5r81
vs7/g9jyfO2BZFYS/46SufrKnR/lPH9RMvGRUjHniH3BVQ4lg/gRZ3J1X183/SKSBoL93cN/kH6l
31YeigPo+huK4/L2K2f+C+IAQAXqdMbpl3LxD7mwgFyY01h+SQdAXM/d1+XjcPefJGBf1x1IZCXt
/4VE/j389Q0j3NyFu+1ncPEZAvby3c/xE8DOg6Uvebkn3u4ffnkFUQOBML6BlutLvmP97/7/D4se
77rwy6soBpRGSUJjzBWWSsTwvvHx8y2FIYfgIoZCKFYEcByQa934YD4jnxwJyP8gqskVwQFsp2v6
9RYVR0pIUAWhBIESSpBvgO7rxs5Qp35jyJfvP9V99brJ69D98kow9Oon9/TcSiFnMSaSKoDyFJOc
SgU7ufu7a0CG4HH8f3KRs8LizpxOLZZ5MrqGJ7yYxZlrZdQl84TZhvWFunFl29okaJ7rFA0xnzZZ
F5r2xONK6zRurDhdFsn01g7NMiYBoelNT1nFjnEh5+hNqQr/vq2Z4OngaFaks7bCJQPphnM7VnGb
WM17kvQVWliim16cq0LIJulGv+wXvASW1EWjtouV1G8HXEwmpWOjT7tOuyFhcdR+UsUs72Nrhk2I
VbbNFkTrxDhAvtM55oRvcDYycq5IMJtOVeJiZEgm1dBfd5ZEO9lhmiWzHRDdAOyc37iimN9MBoVL
n5Hquiqiqd7KqYlMWsRTxpOaoyxOROGuLXfDMby+3eKlmU+yUahT4nx+hk18POXER4lp8mbHay5S
0pkSmDmSEm8mrtsdC5K8t6okSU69vcFkEltl2MdsmN0Vb2a1qRdKX/ek8PuhmdnGYPLaiKXb8FrI
bTTnIplcZF9TGdlLWo/XHI1dyq31NnGTNPdCE3fMZENTL+vyDFeV3eRiaq8HTyWw3eTZRdd37HI0
NYWz9Ut/jsZtS5rmUjtf/VYMQu2Gks27judxmnnZXROh7rnWzQZrrFMRmTYRHfxl+PJesQgnXlZ1
6iw/HcamSmWu6pvCd/SaTmo6o06Or/MOtW9caT4VhJo73ohxs2TTmUV83vDeF4kgmiVeuOjN0EzV
jfVlldal7S4JLU0agCOpVuUbb4twGU1ln+aQ670rp0UnrCPT5Zx31cZNnGwxh5NG05ht0KCzt0ss
oyqxcUv6tKgbBa8tCr9FzuEzalp0OqP+wcLzV1nP7Bs51NZs5kmra5lz9yYmbEgWrwuduGxZLllE
Q1q4ITou0dQcL1FfXyMCGi1FH85JydjZbEniPGU7DGp/0Ux0+TB4yfNtFII5ZYXBG8dK2yaUDmzT
luV43Bc620Vtfwa1RneKjLgYhq6VySJqm7RNXKRxMUUntLZDmXSgg5sJzVXS6yikYgm3UWR3pluu
43xGOy3P2KCmpGvrX+exL14b6q+iYG/x7NVGWXaNW2S3dezuOyflviqa25maOrGk+1hJb3dlTsKc
Vjk542y0ab1Kan6IMu2SBgeXLD16z3o1pcOs9Ikbh+hijJXa6t5lmwKxD+AMuyviqmkXdb5JbZnx
/dx27JaJaEynQnabSnuURJSAWUWnUhue6Jx8GKRut72s/LGVLdkX3ekS8vNQBZO0YUnmOr+sdZcn
TKgk8qzaVFNRbcfR5btyLKaUlUV3HWtq37iYZ/uhADbPS0n3SonpTTXZ5bgOJdk45/zxUk7igvnh
dPZ03PuZ6XIz4m58M7Jw2+M5OonamV+ODJsaDKzp2Ihu6iJiVm1a7EnxetYjrc7Hhl9WPv7UtA3f
CrGotwWd3Y6RukxMnOvXM43zK266u5o5tudt1SZLju+EG3hIjEfhY+eBZFQZt/HOkrPM1tUOEQ4q
jTKbDhWzWzsb+3oGt5uYCfwdJHFNk8p6/rj0Kk8GDf556EEH83maP6p5yrOkylF70/rppkaiTbK4
rq6ayjCVDMr27nXGNd5TN5ru2BEmXWL5gJJuKZq9KwfdJBBu7KZxtboOhfzNNWhMMzLh3Whi2yc8
xnmbRCLEiRN11eiU5VU/ZWnT86JPXC6iHV7MsotJqHazaScw8dqNdupvjZ07zE7moQ6nVY1MD7El
au/LqGjmxLCiR9vJjERclT5u+qRopvik7ONiOZ+YF28mKPVuqNdgIuUIqrf3YeC/djj3p2ap5i4J
C+WfAmh/nuK+zUyKIy1ZMgonr1sbxWSjMfKnDUHxaTvraBdUUWcnug37OafZlbG9vYmjgsrED5E8
NqUGxVXLaD64mHXbgbDqBOeZuYshn1NJFfuiSLM5sPOMepwnkjkpkmXs9X5wMdgHHYYhodMSvXHg
2n+rS4bGBBC58SIMXfd6nkiLNlLMk08WXLssKXhPp4RNS/8eadretR7lHyAmZ3UyVv1FR5fqSg9c
/YYm0y8bYzW9joZyeB+VdrmskNxLLOxjVVHxwGvF8yQ3tO2Tng92mymW73kz7CvwtmkH+cO8ma2P
q0Rp4GJSFCa+7YeZn1vR2YeoQIU+rXpCukS4fHyjWyZuIY6orZuWbNfPM4nSRkqnU1xik+19Pk33
ZZ4rBs4o07eqrIfXk2wRaOVsotd5ITqXEFr5D8Wsy0tqXZaBFgcmU6KqZa/6tnxgoS2v3Vjf2M6O
JM2XWu9LXFYbXBowVteE9mppaavTbuziOSFdrqvtTBS6cNaMH/g4j486Nu3HmLFhV0eF8kmUqUwl
UztHpx4Xw+uag79JaOeje4bm7mr2daYTGsXdSS9n509kNLqPKpvqOJ0X3e8dDnTcFHnRzomSVfG+
jXPGkrih4bpgurdJNNH2UgRn92BzeXHcE+TmdGZTm8DJ1ZZKjz5oFTTb1jkqpw0eIn7cW5Zfa+XQ
cUtnmdZ9XxdJG7PiGNxzESccD1VKSyLP5zG0p9gEsRGOoc089N3GElA4ad2STrFn2xbxNhUFCVtu
asUS3Lk3uO/CpoOW1bmNhr5KpG7CZpKF23eS+TqBsQT/ofRFkEme9R1O+6lrfi1n4uptYGpuE1e0
y6OABOpCo9FtKBGfWGbUO2nq6q7JumZHjR3sBly8rpJ5KJsoHVUJHpFPM9rnEskLtTD5ceDenjjj
5iwlGV/qZKYz/SRHb86CxvRWBWPyJK7oxJLWD11SN6Q5yeIJ/lkufRmfFNTM13Gp2yGdiMF3gxpI
6mruPmZMhzdcBVWnxUTQh36BBHKbobEHXUJdn8S1xA+qJW2x1ZXIotO4KfSvuQr1u3kJotvR2kxn
fdfPx0MRRWaz+K5NK0nLfZGVr9HS57+2tbzM5mHTmGpIhzjajnFv0noO6g0LCl32kmWbTFUy33Dl
yJWwkBvGOJPHrYDEIuF+YJ+UXIhIWOOy25rNck6KamRRgiOK5xR3OTpWNssuu0CW7UgWvSeFHY4X
xsNmcdTueoT6cxyZreh99WgK0vs074V8FEXuTTJ0tdmUIvh3GZf6k2CN3g0NomUC0ly61HnWXxgy
lfsM0qwu0Zojl+Q+K1iSlax4cEgNdeLXv1xkLLgWOl40ujXvrZ7s25wjc4xyHkF9oPtz7yZVgIKL
+Kz0lUozBDliNWan8VJF3a72bX8S56o1SU2y8tcultgnRo+DSUzOg946R8S21ctyVkbYnY6C4XOg
0J4Tluf3esnDrspDOKlcO+wyRet9azO6IeXy3s3T2KeYYH+X0Va+pm0bPWKUe+iYQun3pS79rri6
b9zswYV/GZj59vVfb5sK/vu85veL67zN798uvg7qvPjU8WOzYi7d4UPrab696/ehkbUy/XbUg1r3
abTn3xTCL97831XJEvqpLxXJv2M/vxfJT2u+1MgYkSPEoAxeW+aYkrUQ/lIjYwRAOoAjgkMt/rlI
/r1GxgCxE8oVdK4wgzoYGoXPamSFiYqFBNxEwkv+So18WCKjFXhZZyxgqIVyphiU8M9L5DX3Qjpa
orM46LZQO+ikxXP/qx8Uq/1pgcCQ26RUcWyKY9kFsOFzqmw1brNKMS5DAvUbc9kpUzou6UUdEYrE
nETBZKhwSWx93h33ZREmfVzGOc/zc56NAxgDeLNC95B7LLDXO8SHsV2yJOshlzLn4PI5JLDJCGUM
JJOQhESDgKBySqFt0adgjzafk1brAX0gtdchbcDe3XwDjhp64NuYZaN8E5upN+oqz8N2DIppCwkL
iaqU9/WaSvZ+ieYE6nddphlv2tgl/99qns2/fYekfcXtVuSFMGgJ/Xtk6aDD87vlfF73xXAEYEGS
UgHYEYw0rEbw1XAAVz/iYAEoVpQDCr/CTl+wJYkBbmQSwF0wtGdGgwEVpoSD8gIihAGzkn/FaChA
xc9wpXVHGKcA26SQW8DUBTkwGosLX+Ox5I8x1qFXW+IYwBMpckO+3HLeu/KORZ6D72/nDvCMQCZu
pjRqNPqU1Z7VkDRC+JGnyvC535QqqtuTUVW2u7C8cqCUTTlx94mXoZigqhfCFjTNpGT4EQCaub+2
ZpIWknDu9D2taCsuM5G3jiYVzjs4CnPcV1cGozDWm8xyX0INO/KqOsdybuHIWVXh+YxUtC5+i7qh
gTXPRPoD9G3F1n7H3qAQRTDdqMC9qbVNQhBoxHPHInGV90aY+FGPTV20JwGKOXZi2dB5ebJ0WcjH
dMkd9EksghJY717eHkNf7Pv9paQwiQSul4Kk4DDf778UNO4EEvlDgUta5mloKKcmUYpEbbHzAJT4
sPEmZMwkEYsWV78eGZ07kmK2iJGeBmHqrkyapoXK5lLxuIV7Lx8SVPj5GSWilELzTkFkYNBKkgdn
nEweEeNp9CAiPyCyyRaZyXZnYxYoSmofhPhYcqTDUzR/GsP8c9ms+4KrlwSmHCGQAAL2PW9cPzey
iWj8kM2gcyIZkLPdr4ZpUmfJWOR9flVrmNGFKt00MAuZvEw2TF0ckA24L8Q8AhECZinlypZnsGzG
hzyC6o0+RBLgDpryEQl+B4YUhX2z5NJe5hFu8AUt27m/KTuEFpPAwJ8FpvzVk0D8WyMwFKsI+tkr
gPzsJEYabYsZ+QcmRjC53YzFgssd9yMUeds81kx89D2woE06AK7FxwbNg1fbIW+QG/9EKhDTv2cL
JzDRyHksuADR0AOpQGxFxVzW+l6rpeb+uGldpedtpKtOzcdz7CdQkZfpxweeTCKuIDv5bKiQo9D4
gAGZWgpI00P0yeSAZkYnE8RtMIhqagzMAvdjwRaW5lUHtVAyKUKBETwH3OKmcqKY0zrCvr5Rlal8
vWl548l1NeR19+nlY67+9JkvkRCxEWOIcSzBh1Nx4Ev6Uccetcv0afLBgxKgvkQgHzSNlEfJ5OkQ
3ThStqvRhLFZP3KX9X8inz8wC68NCwH5i4oZZeDavtcWwFK7MHei+VRbHoEPL8B7QTdgmFGY+RnV
HPx+l/W+vKsKXoNH9a7ymJ8AoAIIRdIa8Lar558NrKrzxQ5nbCodYMcvswsfGhi0n6mQZJ1UBgkL
cRCfJjrWTgGm/qnTRETVtgids/3rFkBFV6djO7dwuEhWA9xr5rZq5k1cLnN0Mzqn950CuDlLq2VB
81ll2jropIZmDSRZPUeRvRaVypYqJVRN4BJJVMy4PkWLsvDWMtdj2/6JmWJIkr9TACJwrKAphGAm
WMBI14HHAM2s26Ee3EfJG17w1CFoeLRQuPVK+RQvMgLXrucn72l7Bvf6z+7EYR3DrWkMVLS7fqR/
bkPs0IsTyDYUGBKGjH213QO1KKeyq7Rp3EfnwYraLe3KmF0QbOh8RqGYBnYoPdjltjLTPEvoRvix
NSk4/FFcZ+2ioY6sWLHc+qjvxGWcizVBmNhQWXVc9nwVT9NRBSo0D5IP184X5XK7WFGOZYIsYIqA
EQH31yy4VgYuUqjwltu4miaQHYWWF3x0C8pCvHG8o91OSMA4SFpOWQ4JRvt5exVn0TwCnjMV8IoG
kgc4eR7Va24QHK/Ku6kTdet2avB4uGG0WcK596X2ibWVJ1UKUHk1nWQMguuHOq41ux3QgEHJJMB3
xW9DWzeQorys7IdeE7gP6ImEgSQmBaf4QDWonusMK2c/LrjqfJYA8iFdl4xN0dg97dsRHMXLOx56
IyLBFxEMcRtDmvOHHTuPOjNWdPxAF0B8eTr2bHV/pJMlBG8xtFx81AVdQAlH0ocuuwBEUoKevnyM
NZ39ziioFIJIiBWcIMIgS/7eHS106NtIieq2YnUVaBIAgI4em9YAen9myq7GW69lk78eujgDj+MM
b6BtGAcyNEks5WiHJJCsPbM6FjcTtOYASuxGLIbrEEcoT1u+TM0ZKBEyCbQ3dO4SpgVejd1AvXbd
DAayi70uyrBa/gBTAFfw0wnp5oSWnk7D8csUH/q1mEKAWn96QT7Pb0BN8D3FpdCmHttOvhv6GkES
y70nkMQOUMaN0BvBjJ0YPE6gtlOpAApJsvA5s42EW1Wa9sVI9I2exKrSpM2Xyp/kjtDVRbZLh/Cu
tYPr8uOFzyVYnR6rNafGc1yBdUrcghm9TBI58GwxZEBQeRPwaiBBjNeW/PMMpKV1tTRFTd7FAWBq
twsuWw8QItqvpvvZjmHSZYazaTOtJg6+cnUp3rUQaCKDIY3HE18vNW3ZlXdWFZKd5NBvgEvtPDbi
UrcTPAU4+ErinFUA9ZWR9HTnYj9QaB9DvABy/4S0gwoASFMYkHwAn2DQmUG+9z1pYSqxtH0zv6PZ
sHqq4FtQrcUueXMfUFwSQD+hyb7cSlKv8bGKGgwCmURls3m7VAKHbKdo1I/vIEv1wI5RFhS0jw4L
eJM6jxSoGHTq3OrdenCbJzlxI7i1ABkJbJgHjeAb1FgYWFFlDFgRgjTQPeS2L8AkjCIFfHviz+oK
y7uXmXBgozGkC5BdScIB1FPoD6kuHhcmZtFGb4dKNuAdntJbYgDQLVOoLE1W/5lbOAhH65aMQmKP
ICwhmIk4CEeoaCBrha74267HoCFhDgEUCmI/8IcVjkGzTo9RM0FLw9IZGG4HXUPKAk4PuDT6yYbX
UnSxLnbQlojBGYBBDtce5t8gAlQRGH6YaghUX8SWtWMNrJxsXIOtgBWt4sjKaRVEVOQYPtRcqOEa
NVUDJ+FlCbEJ4Nm1Tn2Z20xR0KlnmSIQvwYBcBIwZA9Z0GFlA+lgF2Vomt8aMwurodNfUpfqEeni
UpCF+XnbGui3x4kiRBUm8b7N21NkoenEEwfZTnTmsypiF7oykqbt2EzZPcotOhl1z8SmlHVjH2Cs
ZPHXVSMq+JHigu14xQaMpmUTF9BycmkL+WPX78aRx8Olb42emkRUqMLnFHkM8w61VxhQ+tB7nUCT
r12KxNSDZ1OaTeUAxjAsfpxtMkW8YMVOEdyzG2HDzLIUTbgf+2OnRoM15G86C/tgJGRmqVzsuCxQ
1oIquv1UzrpP2s4VYjcoCZAxr6JpeTuKhuS30PbP9IayQHA6Q30KHUiRhQ5a5TkZV0DMZicw/BM2
LTRAlzOtaoSO8YgN2WVRFxu0dWVTsXczH7IyeqcaNE1vpzDRcBF1oY6uIWLI/oF7Ify7RQ5Z3SSu
abDp3qhpseWxzgHd2C0Ni6smUWVDiUmlX7o2/oSrIq4fDHHNMK1I/tw+qj6MI0pLO3a4OAm6bnm8
gTqAW3Gsq6gUlzCjFJXl8SAc6ax5NHFNA3B5whQaQxcLbQZQ6QX7zpk38POmINC2hs60k/te6dzY
85pPZZttiyEL43A+cp3l+U6zauz5ta4JbfeiYCaLd6ArAroJblgQhHXbxfmokixiog0bo/1SzPsx
6yKTH495BdEmLdXIwMEOLu/5r03UC97tQTnGSKfQSe8AX+gdZF0qCdAzn8QVNLUkfISni1GeW7iH
FFT1Pl2gId9+WvpWkeG0EN5l5ARPUSRlOhe87OXxVBe4sglnwxoXEY9yICejHILK3aRn+GVXWnCj
eHY1j2508nWho2K0O1nSiLh92c8qHq5EQXmuklapFZOQPnBT3spMA1p8xpjtgFPR3ILLvgCv3Rp+
FlHtpT2H7niO7euiGItYb2E6YeyybZNjCmcHl7UeaR4ii8gWZWbO2w1yZeHjTR1QxOtfSUZq2K8q
rFLv+ixu29RD6Q2cJXGfQwRJsTDrS+D8kLIkbavWnJ6ZDqhPncE1FbvCjCvHqA0lfDSdCdFNXcnV
5bMhZLFM1RgaUIClhnzjOChfwXPuiVQT+ALsawsJfyCWdBp2swZ6lTc1zlfxYMcM4e+xnVY+1wym
v8Im6iOYozqJ6jI27LFtoaBpdz7PIdNKxxjPsk3z2PA+Agmyvu1vQ1H3eQ38iszSHEMzm+HpIi7k
euQcJO2WGwGaBTtQuNV+0tG0Kpjw0Sp5PkdwzUKnDa4NA0yQ5xBi43aEMwzwAzyg8Qs93lPafgLA
zcA1PrlG3JScaUVTNioAgBInDQZefNEevXQKXimLaCVOh/kzM3rQGg+jXZ9zXMUXvn6jHS8vKHSb
opsvrI6eHv/K5KfnACkg5YWEwRg4AK4jM3wqc+in++O8pjMQ3ZIFfhueQDcuy9ENFOBZoxL+JKhm
GQKoGlTevc/2NVaz5ms3eZjFlar6Brg0kMrCI8QBxuZTgDn0oJISzWvSm1WcwEUroSv3ST1xsHFg
QeDXnmgyJIcaLXVNLUZ8MvfxWp2jJ9E+qYfQpQX+CAY9RrTl0q7ET2I2oKcZ9us2hhkBF+emRdK8
W6Kc9eEUKKUre58UaelnGMnYApHrW2DaoIN18DMMCtrVBbMe/Ymh0TIu8KWxtGEw/YZ4XRb7BYYs
J3ecIQCR0HbM+wZsWhXZinx0I8g3HyRpP2GR1aA+HYeMFYj3AyS7Vx1g2esLCQy5+RTmEmL4sDVa
zaFa+Hr+uheZGd/1NrNZvquzGN5rWoozelJ2s8ThjD7pSl50KsjjLyxXxeDhOFNOS3gJRIAGNi9c
XkKcH3C7CPQOMrciHjaujUKdp6jLNGzOCwPT8ZtgHWCbFgADgGxATKbfyyZbzbmH+ArXyrkXRbwr
IVmc5lMYErNTcxJYg6oqtYrZakh0lwFsCG20Hp43oe3gA5JGbi+rtoe/52oE3A4GBjFARS1g+fZy
KIMGUGD0BewOUxvNcCtqPUEVoOdl1f1RgSsvdjDNQMDDxB7GYuKtrSDEVtspqrXq9lxBqJo+IDEV
4G8y2zRlefIFTi6CNb7Y9cZCvXs/sw7+LwAnrjDAjmP62WZgts0Cwzo9lnq5pSZuxvCupaMZxUl4
In1SWQcsojBoUgJFZTZ2MGW1IAxeLni2sg9PbtUawKtWFX/CT+Puf9j7tuY4cW7tX6RdEojTLYdu
d9vu+BB7nNxQcTIDSICEQCD49fshznxf4nkrU+/9vpmpmmmbBqSltZ6T5YInwKy33+/UNB7+ZbDA
8fmhAfpI0qbdgCsn3JN9kgKyWMPu1tfM4BPhyvYZdg7siHX1BrJsLGhNebD9YErvVIGvw+/Y3qC3
EmM5UMMh4BIQZckkRt+uw+zUZ1MLYCK47mS476eJLw1A+ErGE0qlH5YrzrxxRaURB0y2+8Ozjb9D
BZ6NJbB40fYVftysLe7y04L2rCTnpRyNaS6JL3aQUlkcd7eRLP1wuueAsdaycKUga30IFx20Yw7o
goU8jQAChZ955TOM5DgME7z8jXDIGw8QcO3HRheU+3IzngGfm789STEpINF+Qxt/Pi9b0JXRPSQY
C3k0aKaBKmx6SMLPqLdYX5DKbHgCgtP9HkrdExR/jJc7StU26FfRWSedgqAmTCAJY6/ctWF7CcNB
ryUkc2qcyF9LA91vWeBE89sgHVvg3ySLWxaZZyCSi5w+0moQVZWVAZQx7mGJ0NsM35K5mQfv01jG
gCaORtoZIgTibaN83rj1uEotTgeHYZ8xhZ4yioLEMotV3onEy2b8RxLNabSAmXL5jzt5e5eDFgCI
MxDR635b38tN2857/UvWaq8m6P73zQsZ6v6J/jt6Xwpv/28BowSfWKt1/2DpA53oCkzuO7fRtKXG
Vq7QLZaXbVqZLqABifZdmXT7//mxZNFTohIlAcgeUADfIfi9nJIqMw7yxShlnqHxna2jalHpQiHB
/syhVkq80zL0+y6vyLbDgSN4IvyLoy2bTsNGsb45Bf9wAW65f3PZgGn8/ONCgUlwpA1YKuTxbWLr
G7FFMhW9tvxevhUs+QY0DjHbwWjSDjsIOZrQcJ53VTeoMq2H0JJHC+EL7nlawOLN58ar9jau5g7X
iOZ2/1r2+4YjSuIcSaEU3ze59naaMe8Xt6/JqNw82aRQU/ZdV9QQeGL1vj0Q4MB70ZNwieH38pER
cV17fhvF/wJ8vRvogeWgPmAFeyhuIfsHrAzdFZpTqb3HWqkQ3zqqKofdAB1oexkI33cQhLr77pqb
Yf/u/zLd/Trb7ZcPd66Gvll63+OsxkKavowRoKq30iiAAeNbYA7ATvr9pd4B6NhNFN5HXAuQFf4Z
7mP9T7zQEsshLtFK/r1GoFWD6nTQJecfYDPYV3cS1vtLtY3AG1bccLyyH8Xx99/lVwghoBTrBw4L
3DzocKxz79fvUs6+B/hWVI8JWLXwcxNATDUcRsiI/GJTaJ3/7Tn/84Kw5wI4CCFKAbiYvMMVJZS5
rO1o+TC4HgdFJXHin6JVosz92Nm/v0H2zqaBOwR2S4OIebHHQEe9u6BrBa8guQ0fflSMpd520H4N
/TUIDo6P8XwQutzMvV38VeSd7fd67kOi+khGyMLIv6By7NeVjmeOUSpOcHhFSQDz0ntabE0oWaLV
Hx7at021oK/DHndWlqjrTTw3eAU1tyt2ZuLjcEBrQer9iwjtD3bL5gGT/SHofBXQ1KG0rBlK/YCP
Y3+U7NKsPubJbHnjs/Rbmf39Y33/GvHiOPVpAMYEsTXxe5YV5+4weY7Ml3qUe2XavjdCegx6e7+S
2HLYPP+fhuPuDWT52W7zn64XwM3z3RAZhuE7cDZy6Ea8mNrLj2PPVfUgUqpQWVVqxqb6r6C1gALy
ZxAZY2PAvA8v0Tucy19KINFzIy5vxxKa5P1tRBIOmqKHiwC3/Psb3H/h/8eWgM8moJ84diD0KByI
5js8c1k315gtkFdRT4wMsqiDNPJzaLBh/m0L/vNSeHUxGDxY5TFkvr+3rvS61VZhdfXWiswB0BGs
I2/o8K/f39UPKcZPNwasEJdKIJChUE/BfPXuxigFLxM1kMObzaP1WHiB29UIFh5Lq/4atx4ceqbG
CtgqJN/lhmkxnYJqYt01Tmvo1qB9lxrIDwSLwB7oXVcGVaWuVvQGAQw2rpHMrVnpgXL6NA7wAVSF
ER7vh6Jr7eZNGVU0hJElNgGgthvfMeWHd8kbnwdd5Uz8D2XfscHdyqqeE0hm7Bw2DJiIgFTjCoNG
1HR5S4TGq/jRoEQEP1an8q2tQIce47AIv5ext1FDLhSle6k7D6Ubo+HeBiwz9GHkSnkx5oTes/gA
WqzQRhd/bPdmjrz1NhrkKHY71THbmlSOU8e2tB9N0jc5xPYtjAB/Qx4Djs06/dHIfO+gwKwteL7b
EO+HeDTMQJYwW8jQKzRk/+Sxk5gq5jMFW9FUWeu6EfMU8PxWtE8+2t7Ev4RQ3HJ9EiElOxgwzgY4
KzT8+xyWLOvoD3ktbQfYFQhMBJYhFfUUw6xArKoW2qWDD/WQd5cMCYxKRTWEPBg+Bmsyb+oj+Iad
0UIPSL3woqYRJMLHRgNtrnKIkCAnONRmYExkHUPT+deK0XOMz0HoFu8zg+R5ii+AzUp93yeJkF4h
+pFQTMIU89KUwSYILr3o1Yp3my/O28yaUgJkYs7QmrEAgnMOj8mNTMZp3FLQ0UuDaTqJDXjRpqbj
kdN2Wl5D2sm1zkuOhhsy7qjvzEsP5IVA6/xGuf2oRQP48Cq8iTvUbXHo6zaELepHnwXge+8T137a
D523pdF+7wb7qJUY2UwCRQzMfIaGHUxfY6UifA1Pws+2SDInH1HEVfwIvwjsSF0TwDlXV9XyGKxN
IPK1Wcpjw2f/qqH+duqMm6+AZKiHyIRe5pKgvkTN1FJgxrP5WGJRX3GIEccUuw++MfhiXiraqNwl
DPrFuPWnI4ZdQEpeH1zHmn5WEtuxX3R4Ey6NziNe13i7lJiDiBwvhGrsh020Ey3QlU9FvFI44OQY
dl9rbR89xvW14aS67uYRovkREDS0L9XVrGyS18kS30e6HsDr6+ZbMw5l3tZwaay87/OgTAaInD24
XMoeLHCvA45fHa99xkUfHRb8ylOMeezVOGWP0D2U34ZEtkfpWAtXUyKCQy2oetQc2HzaAqIZ4Y1S
1dPitvhLS/oAo7ztPi6x1xTUm+iZ0wT6eEWIf8MB0x3MNCItBKr7e4CHDfRKk598Y6B6MM8wzR5m
T9TNQa89KdjYTQ/jzAE4oBTk4+rsGe6HVaZBt8RZGSVlHb80s5esJygQ7NfR44IVyuoJY07T1Ws6
I4bhz3iCcSInJTHnLoEcIedsEvdu9iXmpE5dB+PEhgzuC/WFilHfuIjT6zFk+wqFwRQcajUvZ4d2
9pZGcj4B/SbnRvq1l8eoft/YskCcum0xqzE2a/Jp0cPy50CIy7yGbV/GUSgPigIN+eC2jVi5davh
vWDK2Fxvi3Tn0FZDlVKmm8vKIhRijFTZvPitf4Yht9Vn4wZz8LSF063tXAqk9xmeka/UluWFM2yf
ebRTDmiRNmnlujnKg1X5BY+m/qJrbj6t2qEngwNwqsbUSmggJAyQFQT+xPr8C5hplfpe2x8VgILU
o91071gv78d6nWQmp6l6Gup1eDFOd146OOuykhktUoHvB8Y1BuaGjefqLeMuXu4SmErhyNtm8UV0
eoOZhXbPyL2ANUPP7D4BiXDSnokza2h55k3Pv4xx6G4E8P4ZtAOHZngqp7S0ZMBEaqubMCaqSVsm
ky+GoKnJY/RnAvbgcbgLl1AeUOjDMEuaLbqamKrvoNOBtmOpzZOnen2crWNHOCLDL8YvnxbMyU/b
0G3xcdAchoahq/5c8UCO9RRZW6ANXB8nkwRlavgAxlZWU0rreT6FidTHAX0oS6toTJ6Sfkpefaf9
j8KU6nXe5u1PiwWez5HybjmEBUeKkyIf3DA9or8kabD08w0xo/y8UdUf/ZaVUGYBTr7UK+U4y3Yv
LxVNDDwokOFVBGIm02MvjhIe1Cdou3x8/9k7M9r7BxH64yfgcsNd0tfmiq1t8th1ZruuRjEULkLJ
xRjcwZDI6XQ2li93/ViajyaO+VdfzigO3rDOF7522DzAtD4wf7LXzkTLqVmcr4DbxP2xDDv4fIcQ
CkvAHslpI6a8Kcva3G9eXD/FgE4+DVs8fcSBD4MaMdHtxsgEDVPYHNqkDG7AcDM/m7qkzeNt7X2s
d9MftoqoOwkI/q5ySg8ZlCH0YBYxfNKT5RWG6227MQm31xAqSaADnfpY+VvSoWZ3rvAjWGwYOL9s
1hv/EM+VD2TekG+k9KBBu1kDvjVJtnYOvW4eWUDa8Y0M/DmaCoq4znZK20SXNwvR1R1QlvZC+No/
t5P5gp+pAPQ27Hns0MEIG4kLjCOQXwaaNedEae+zJaVdMli46C2kPvap8eZ5ONZe6/MsqRkcrqUy
8SGhXZ+cuzrWOXhcvqUz+O48TrYuSsU2JXPa+WV/UQR8//VKhgjPOqTLZG6GZAbRw5xhy6nnQ/cB
RiNyH/VJo7PQmVoVdaLNg6iauStA+a71dddI1eTE9AFEiGXJyDGCc297WOPe2Pq4tx40TwaHlAyJ
p6aWSp4lZnLTZixC55IFnS3nW6AlYsx8y6qPSwQTeaZoG95ArlcyuE/RIl5PGMSn56DB9GdQR4ye
ghCNU9VDVnQ1T2F0DjxHe/Fx89fSm2HfH2hizx6KHT3FHIzAcWjX3uT1PAb2MSGVFFDgVC3Mb4aU
VSszwhP32PhQzaReDduzWhnZjgsGTZFROG/pzZII12eeAY5/u7vKlhwCuS1XQLbOcJU1GWJf5Hki
qxvFh3YlYbL5ePw9dXDnUa+Tu0pLw8L6YZq4iKd8DUUIZ3RvR4X9EIPezOCx9bqCM9vWN7IGO5t2
PWDebJvc0Kd+t4L4iayQV33DA1VUIApvZQOYNBeucVd+xVmchzGtI0BiwrCTrIwGHWkDWKm8Bex3
OHnwiweJi7JOlHyEL1P6gOKA2T0zTcy3OUFr4sMw4R2VgvGsqObas16GFq4mKgM3DynakkZ1+LAS
riI0ZjZemzZDJZ3wAUVJ45qvKEJDHBYIIYCzqxqYSwrZRSyqC+05FQS3DLYN+wQytyuvxBDzL9U8
f962unqqajjWEh2IFGNC97hA21GUcQk7MA4PiiIRGtBf0QYLttdejN/Yw1ybJNOD3nQKDw4sW10X
dI+mb8PcGJhOLPyIqK/z1H2dqnI7RKoFjVe58hYMY0wz5sZlyDccNvwuGWv/MYKAyOTNDKwH6wEL
JoUebvnGlJb3eujHuBijqLoZFWy3dhinqoDPdy5PQI2rKCWdS2AkFUPu9QPc40MZPPaSsgImPnUt
y4DcetLxa0+DtIRJEOR1grEo97xy/tLbyB4353ltSiMcwjksZ8NYaBaqC/SDy3TSZinTZFyoywaJ
SAkejrNOEyRSQEMKQaQ9jSFurlgBcj9uJYLsSvDew1GAX8sNNuWSbqs0F5zyOPybUCISQaC/wFco
H3DqNAeLTI/M9rp+Fk3FPgN5cweIdpKjokl3iHQk7uCANfBhh/UL7bunVkAJVmFwO0ReKT6pxZtU
GvhKffJpac7W80uXlsaJOGsAjp5L7eGmKwqEu3FzhmHX/yAwliAwgTVfZe1Hn2VZsRfJ/OVmBnOb
B3pQJx+Q8TPAd0/uNc3p1Bd0uA3L0kffiuK4L0L+lct9GF77bj+1nTe+KtgRm6INGxChAJNVeOqD
vlHZCFPuBK5pUwALo0WwzG9RR9KQNCK4bfXovdZ1PcnUa/EdUtFGdZxJ/N4M8BfWRL3q4NSF1ovy
qYaQE1ZaHN/nDjbcPzSmtjqT2vfpZxy8i0kTEi/zFZlkmE9akKtmCLynXTcAU/gsbdqsRH8IAide
7RxrHA+YPA/KllBDqTLwb0DdmWu9QlSSmgotzY0brX6V3uSabATMOKfN3Lqv07Rir2BTYk6zGijm
txms1ZyCkZuLXsz+GSA1/LxLA6Py1S4b/ZNDQloeuqiervmK+S0laEemvC0HEhRk6KD5pdscPE9j
236K9OwyOfow2FIywNe5ROwR7FqcQBWEHi4Np6Vujwuaqt3J3i+FG+oavl2XoPWEioOoi18vjGQW
Lm6kEXQ00IXRMxwGUKRgEWW87mrBJSyNcwgqpZOZkGjSTLGPsXNWrkPjoaf2+3J76Ufbyw+eYgsi
FOaxhGsTi1dtOjPMVu16JNQTPf8QWr+MU8mGxv/SQjZK+mwmsRPlAYSZdPRW1ipUSYZp23Gd2q3u
RptFOHCRyFGDv4rb1ELNzde8n9eyk9drXHo+zUaLAUzftTPQIT91kHkn9mCsHpqXCp5RVeULtgpo
FLhx/N6ksxvgSDtU6NX6k60t6f4ah9HNQVFD/9T1RTCAa3ssqQfu5aghlJr6HFkMhIo7YZFDEDxz
ArmUFVAygwOYIXPH7f/ZkSSieI6j6Nc80bULXgKwTPXjG1hL9E44TG2yQ6MeK52+hvlvp+6hF9h5
EOzDLfoGqzB14RG66g37bWBj0nyySEQg8KjGALoIJttSLCGOCJRjpELUABTimwkNpbtQkdCVZ7Ya
4VU/bmC38LZw5AklXv3Y9nOXB+1k1/7at7i9LUXUOBz0GUQvflc++lOAjIQihFC18c/U2mFV0CE1
E3oczA7VcNA6FqjHZFK5hArp1oOYC627TlAxV4Q+jFPMj80UdSviJmo+A0ltMkiqbLvwouodb9pC
L1DcJMAOehXfbGj94qIkbViCBZvhNbcp40PCi2jdfH4E79c969i2TwTqmin1FMxnKbfYOwXUJt03
ityCDSwNrY0sVDgmdT4b6FRcunkDyMcttOt3lf05aar5LoA69go4cHOjkGGQSS+0t4Kta1dov4NY
a05ABGvSPorELdEJCSFblPq9Xnnq+kX2RzNRqBhdjAwAmHNm+U1vtJQorbwr0xDnqM0nf1sfxoYs
Dg0CaQt0oJgQS6GD4GhCPnV52cXulWylW3W6Z/cw2MYbGeRI1e+/GgoCOx3FjNGg38iMacQIVhdo
JwwCAOpAzt8qAks9ydBRe322ybo6wKc1IzWisyyGOMcbYDUvKVeq4Csdr9iook+wwXM2ZlHpVSoD
oNgEmFCjdbx0cUht7tHATi+QPkA2AQ0rVHYZNB3DjAaJedAVAdy6VJi8u5QP6MNvHQg3ly6+jIpI
hu2ZwGwPKbsNYK6Atk53kG54K3IA4j5IQEnBeHqEbwEvJnIVSX1o664G3Q4iswDMXjcIFrA2yuTe
Eqpwn5s+hEy7uxUvO99NrEkhoK34k0C8BPBQ6OqGoAyPnzFcLvV9JDqzd12+11yhgwnPBslTzStK
pL8e/ZmLB7X45S1kktW3yjA8+XjZHORqezyC3LbGISCELk+xC+zdYhDmdNGwsYEdjjqFahp1MCvI
IHlggA+jPBFqOTGAFk2+QBvzx+Jz+AgDOfKrniN5Y1hM8DiUlTpMXk9fQjMyRDNAh1ibdoNCf9xW
ZEcF6wWeSq/JPTvOMHW1PQTySYPkgFMVIqcGUvENctCqXBy+btLu0ghMw0gViFbvAIYIPCv1YSzM
q9mfUXoJ/A5NOukI8kK/GmHmrfp1vPWttjeVx+Y4p0GlowOEEPrj4qIJquOpx11CDRB95qaOEYeB
BvzDQPaOd4x53KfoqdcmDWWZQI4ih6bOcaALKK8Al9xtHRAA5AJpHRZyhsAu92nXFNvg8DNVADkd
ZCOdzmdf/7WMdV945eiyZQrWTxGqxXztpt7ovB3m+GEMzGRxuQBJEQSanrPfeerWb0vvOq5bGUEm
VCJlCN7+5BopCN7r2jby7Ige76DVExk0YN4XuGJsD54hStasCUbkNEULb9bcLqsYU0SKwNeP2Km4
Rf01fnstmLcGhylcgmdS1tpdgFxJH2CA6ta01R37hPioak07CDEuCgoTWkQLLNDZlnhwNQwlDbqi
Y6L+KANnFiT+4Hye0Z/ntW8GpHSBmfqw+AtgaN9T5SVuO/9lgMoC6SK2/eSPnXoxk1IpcvOBPUJR
CaFUNWPJt+ZTRRYElMjRkYyg87g1FvaeEbjL576y5GSQvtDmppHRh8lO6jwhyifDRC5vgAtEV6Sk
8TMQ4ybCMqjCV+1tfuE4HR9ms3onOarJy8QcL3u3RjtIZ3pAPNE4xlcj8pfCfEsIGqeuSdyxD7y5
fYBbtskNwK3cYKnzbPADW6B9Ydf9qmpoAxf2Upere0nKiaV6tBTWyUAWXdyWf0FWTHMe8OkpRrt/
ZLxkrwoK9BeKHwmQUYIHB8n/Czw38a0DyX/U84RdF9svEChPd9rStUzjSVGGfbDdJRWR6GgY7444
DxAXYuPRz+MI4hT89M0yeOYPAbAjjx0GlQFhdVvqaqaeSdzyR1EjJi7jQPVPWvcMVBiUltL3v64W
6L8pJMIoBvOKA0p2cw4OHC6mF0y0qtMPho+KBx8mUQ+o8mMc79okM8D/DJGAW0U3gGsA4ag+8BVS
mvW4ePBqeLmvqJvqE7V1J7YThNzr9FQ2bgm+Bj1X8kqouJt4VnJDJ5LHM9KuDIqXhJoFnBb0ESJh
TUhzCO/YhrYxpmuTGRka6k52dUAxkVvmggPn/RJ/Dvt+QlEZtGxdizoW1DTI0edBp5CTNawqCFo4
NFaQI6ONh6pqhRcamwYydh5AClpr9ScdyIpwLBCaEOoVo15WWYOxbCoJtZCuyl1EjjU4gAapBILv
hvvZjyeMMI3vQmOeVbyUs8hBxMaY+2AZapy4CKFGq/JxQWo+K6j27Ti8WrnNbE3xW3SzZoviaMnS
TdeoDFcl/MwiyYBY73fCw4om7bGu3BwNf1hSbV6QNkg5wP+DFj4K3TWZRgzM12IdEfeXOZrE0Xz4
F3ruV4MIyD8YqBHLgB4TrDSiIt6R4z3FzCGcTr5SARfJD9bbC2UA+sn4XQW15xLPfZfRjhsvShFk
BpFm2oJHGbPJ7130JL4TXb//Xr+yvfhayFkIYVdFrAXIQ3BFv6oSmmCFNalqom9S6d3b1L0JPzqZ
tFiIRIEu+xei8ldOfr8ibNx4Grt3GJTvHjHwsyYDoGE8Ufgl/uzerji/qWr8oDeg5seo5kiBmWbq
CCwfjQBZ+fYq/i8D5T/GvP6cygAFwU+r4x9JoX//KYh//MjfGSgs/B845cBKeYh0QG+ExfJ3BorH
/wdaeaSFIXwEWaAhlDh/54SG/wP5CRY/Bho41n+Oc+AMIb8wsEcQxXBYcv+7DBSkM/3K7IPLh0gi
QkQm9XyIPbx30gU52k0uiJO7E1BnoAL4jCKyylQSEuNSc34POagZj6qlvTmUZcKSIF0AqWSynNXi
LoOPHjKN5ICUwqmRk/+ApDjSuj9g/yCSZiFygeAW6OVVtfV0uZvagX7rKFKZALGNPQInDYI0IYG1
TFUQNtaejOejSnhVwJEizp3o2V9+1dfwSez2CAIpGATIcXWOJB8QUVAh/WqK2ocAdfBYbWrLEdJC
P2DSBKUKQbyFDQQzjky3VhvUO5+TJzDOrxCz13kXEJH2fhJdwnpuTs22iRsnEZQWQQf6eRHWKzjV
gExNH9YPJool8kWVW+9mC6Fdrr2lM4WvccdpbLcJoNnQ6jyhdX09lBLTPTjsCZGhr7AhTE/jHNbi
AiSX5GOjow+NoRyOgAZhCFkbrhC3RkBj0jJxgLFHOjUrYLoJwzHexPpSrqpPCbAyC/i3rB5RpUrI
nWGCkdmKr39q4BG83hbnXpCdxIJjyB09Vb0/F0mIPjeDfrZjhwjhDlUaNb7+YzUO9B50lWOG6t2d
ydhTlZIg1jaD1iH+EMslQpvb7ilmYms8kUYOoZO5CMbR5GEbrZ8w7A7hHe4EcBeG4c4hbrJ2eUOt
X4zUAN8lov4LlZkXddXIqxHy8MNSAdANhsbmVtXR/bBx8AN9Lascei91L+EtOq8KgCbtBnYPMHcp
MFqH55IjsSY1Jgi/LVC858gqs/BiMaCi9aq6GqQG/BuwMvZE33Ck8Ky3tLcwxZ4R07nEOksCIJtx
gQfBNep23es7Lodanba+YRydfrMibK+GD9kgsHbkN0spYXyAQQl6HMDMjPsQOG54evd2rPZzms0R
AgH6Zskj4hL93BocmUgGGpHRVichMFlaw+XuO7cf8h5GuDNcaia5CXVVf+sGxM1lgN1khMDStSM3
c9BUIyhUByyUxM0N4hLr67Dsly9eVyNXV46LLVYN7e7JVWsdZCMmVMByUOnXV6toEZmG2IOWQfG6
TixbQApNV9R0EZTtTXPXuJVtWT3MwKuUQbzCUZVxBLelXhs0WEKBg9GI3Z1vMLBZwLuE+5mq8TbR
13QzyygEQFsqSJ9Ud2FPmzEzne2iWweN1aUdg12FG9m8rvxqxYrjZM5EpGMIVKLmQpRq5wOCKzFn
BYyGJu/aeHnx8MfXYERxQwWSe3zY3CS2+8SSr2RLeuwpEiqXxbByBxdEmYzbYUKeAAAmZHm8uFJR
BPGttv4I3thTRwgiDLhXykUFQBL92RUq0foIyMOpE9qICV6UtoXzpaW1t5wiUfonX2nz10L4U2DD
+MbHUANnhfRmfbVItLMng4Y7jzVBfuw40tsNWsB7NIDYj+ibkEYqKlSzwAJYlesggG378VmQeAWI
uxDnbhxb1HXkY9ZEtqaRxzgux6JlFeDsBu9KHSq9iRwePf+e6JXOBx8C+jxMhHetwh7hgbEgSUEa
mPTg9nHsIwi6JoeYwcN7lrwSr2aIQA+jp32CMWj+NFKHYd8ozrHX0OflRGAw6ViIDtdUFc9aGILH
IqzHylzjAxygEAEqkwZeiIC+NER+G4JrRxLA2r5iztc0FSsSbHJnAfp6iJep0iA0lZ8imgCY72B8
VZQTot+mVIH14rcgim2M3L2y/cjWyn+el+0PjiU8QTDtMFXAU+ddhTGiqsKgYXk1lWs+eTXkQEkP
mK/fJq9oCYxoGXh094AMWH5pO8+C4ENcB7tdEIZ6u01bKI7xoDDwTe6lgmQaRrKw2VjOmrKNs3mm
E1j6WTh722HUvGwrG5H3rDC1Kpxf1T1zc2m8VPB23darzo+mKADjANKsPAOdWiDniSX7v37qrQP6
t34KkQG/7afe/23H75Fabz/0o6NCzlUcgGGOEKK+B69HaM9/dFQR/gBbSD0oZqJwl2v/3FEFSJXD
HwqByipiaJ12dywOh++h7BRR7ojTgmMbrg4AOsF/E5D163AQAFHC8BYFPmzIAYLq3ktB2RwOM6WV
OoGRQaci+yr44JtFX2BPjfOfWs3/IDt917t9v1acQCIdxQksv+8HkXmkwLBj1p8igB+XbV7ZRVg/
eV7xBG6GYUuK319vH2x+Ekvu14On2kOwCoRu/0zMMchuRimnuF4HFihdKEJ6UuE2dpkc908ISwn9
ArAjg8228T7+/uK/zkDfH2xAIQdF3h7CXf5hqR8IHZ2CLei0mWn61rUd1AMt8LYbHGjuwZVb8lx6
9N9u+T884gBPC0p4RGnBrohl8/PkNY2TMAji606mY+5OtvX0DQNns6VJY9xdRdf/+oIhwyLF5bB6
KTLe9i/0k/xe7FpAD2LKq5qUODNiHJ1rPSXAd3zyGe6+8NPvH+t7vTf+CBj+4lEYA8qEaDrx4nez
5ToyulXlrsxTDk28/V/2zmw5biPruk+EDkyJ4baAmjkWKUrUDYISRczzlMDT/wuU3S2W+Im/+7od
0XY7LBJVQCKHc/Ze2wpa/Xqea3WgIApdw6M8rFFTK8xFCK+d6kEUDwXW4dGLrBSMK9Id+9RNut7T
fxbMz1UVtRf0w+WXSXc+GAW4W84HoS20JRaIIQi46hWb9+sNKnJYLUne9Tthowa4V3JdBMc2zFQM
iXAMfRS22nhAtTRli+ZEaPe8g9NJodi3Q+JrWYe4hdyR09mEG4pnZRVZGWMJXhDAD6RnV8gsWfyQ
AWe4eppBu8p1OsB0ogXLSq+3YYJCI0YBOemzs6mE1K6oCCoNFHO1PIKwkyets+RNELvIFudmKMU3
h+rshH91lsMah4WeHBtDyBuLWcLyEdWn7i5RB+VzkkUu7oOlK8OuI4GRwSlpUsJypaM91n4wShfM
txbHibzsTHcwb2UxjRcAtTMEGoKiMUhJk/VsmQiaKec9lUMrb5SxkzduWqMTk0FdPfaJXj3OjWrs
LTyBtSeHoXoEvjvcqG3LhtWt5+WgRcNrnWiNeEIBJE9lk2k6sQpB9WhEnTwptaLdi653/HiOxRP0
Ir3YF5MrHy0Kn70HzRU1ZxsIeerNhm9asQ1fQbTggsiFgwedtmfj984onrKe++jMA/etMbX73uWh
zU7tPsDGFE+WYskTO2N3jaxKGJupjDvHc6USVasWp+fp51iNkhBEZmTEY38Zp7J9zpJSgR0v+LL6
BN9k247giKjgUmU7uHYQ53ucZnXeUdZznR7msR59jugnPzgV86nfYSqX63wyGSdDYZlPZetUj1FI
2ySsc/fCBbD/UGU0kFdmETMyMAkpnokA69hQS8W/XJXypu+navQHazm78nZXjxKGfe6FZTrjOISa
xXYo0gyapQkiSfSsfNeR8vTKCctm93r/TdkJJEQOx6jUpjviKFHr1bCprl7/DF2WwssnNWHemKOd
wne9jexu8MfQdTcIOBjA0fJ6WNjCqx1CyiA40l1RK2/gROGntXTck4HzoIGmQw2KLkHmqMlVh06t
EmCZsaHeAX1XqcgHpQyGDYqIaRUYCj9QZLGm7ketsweJ7VgpokNLNUDZTircGb8GrhScqAGLjKwM
gVKyiEC8XOj4zx5xcI7PA0qtwRuTdo5vxknRx88ttz/atkUxbFsd9M1qVlPOphQVvFLFDQaLQ3Cf
2/vKCCJcuBPn5sKdgKZkHhgguccYbG7ophpXAmE5G8FxF8DIP3ZhKe8t3NNeVAU0XXDlX5loAz3K
aNqXVtVrvwKgseqISLlWrKg7jVHdhqsO8vrXDrOnyfhqR5iUbiyPA1L7nemUIdEMql6iaCnnK6fp
w2cKttqVRWfgUMSRdVWphRvQdDenC60Ycx64VGjnzcjNtkU1d89uTKnbR3wUxj6D2z2AtJYc/aFG
uivNtoMHo4At4WscUyDVcXJo6qdCQ0mXkKlh7mq8rwN/0GDQ0blmSE2paJ8jjX9ZMS/LE8scY1kP
iijeWUrAKj038XZqu+pRaJ37AKWdlrsdOjlRMcMgOYhFwQNQfu2qMrXqcWqX+i88mydZOuFDIiwm
zFJP7xM695+TBrwN1kgBFUmlWB1jJtk7FbUQwJMBDf7RKe8tOjlznBQ+Tj0z3GhG7oiDoGDrfp7b
SvuaN4pCKAz1TGdv0GExRk+rWrkxaM2mB0s3jG9zOAhrjaLh8B+1YdMm0R5r9z31k/q/URwCFLHv
sKSkNpKocS+MXhl8g77xG+lhoRfXEklRv8FXCdLsrQbRnHTCCZTMFH9pEAtbMb8h1OTPV6xYzSfA
E3rwzXVGcPs1jrpyMztlnK1AY/cmrchUucizuOfW5eRuzPhMvky2U+5is3Cu7chQ/YS3aou6u6Hk
Q5vvEX4Ke5GqE5xax1jxUm3gscKtaNZxRvtojdIvbK4ap532k5E4BKlMLAsot2hQwPl/VrPEvRAB
pJJVas0MmrpnpLSh6vgYHJeh1FN788Oo1K5AwTGX1haO3VXi8nsGRIFbq4vci3bk0XgZ/CW6m33C
Z7IdvP1xtZzCo7RgCEojpOiRVZhVQj1lvkentZuigXlwEGHbbhGeOxdoVoELYtbIVgmLCYUT25E3
9Hl4l8RYZ1ubzIIdaUvx1ghm82meEib81ynQjnoENPhjl6E/qll0AwCW5mpfjdRx+l7dQi+Yh1XT
Ke1zQcYM0gCjYeXX51o82RnrY0tdfaQoGGeND9+DWJgMxTs7hokjyvbnx9LgU2bbOkrYSQSKwvJl
I/E/1lnT7IaplzfdwN43p5m81uasmA76qFsFZ9ApN+UlkALd8NTGLR9Hva6ia11w/FzHlJBybxxm
Llk08WSfTDr3LauFheWfMJsorAkWGh11AKkRStM69CmiZA+J1XQXKKV4tCKNiXVqlORirBqJM+dd
1ak5A4dlXkTSlJWKeqj6SHkBT+Wi9R2JkOEzs8uJFdt90OXIsABjzUpeu512T7eV5SlsZJFuGmSV
M58kXu4onT88DGJiWe8rR7BgNkxVd8HyRJMEUfzc54y4DB3oFegOTg3g7VW0s6KtFt2aIwL1QVMm
WpfcJ7aWd7SxlP5usLCKV148RmHknLIUrghLVYXuFHFBWE/xZkpjJdRQWbJbDrewDgXmB7YbmQrr
KUbtnXpBlsc+BmQEYRaaT1RE7EFsPVIPKe34K1QpgweHBNooqnxfgvY6ZMlcXfL46xNBPNE+HSLl
i1Tc+KAgrsQgQNnNBIy2C3VLoxhrK5usHwXfo7b8QkU8odouQrM28HCt3YYOU7rRhP1GU0ON5q5G
h13Kel+C+YDTlmmnAiNOuWIbQg7H0MRAPtiRdFaevoDTEBtnKIOdO5c5yoN6QEZZtiOVo+IFwP6L
kk3XrjTHPeOajQEK0mu3q9RrkZNVMKi5Z7VTvpO9wHKGLO5OItjZJCyiflJHaNfw9ZpqZ15KvS9u
edqsy4XMDqx8+dbMUwVhCQFITm4RIZJd9imSWoNbda1OVfipUqz+sSl146ocqKp4RqiygZT1NnMz
mAoDsgHtxM4PVQKN9hdhBeJgIBaJY1QQbkLFrEA8EDg7ClQ/RG3xQEz6jXBoBX4D7K5qhrd9UobK
U1iBCS7rh2UGiVRmCNYrZsMuKY99rSt7pMx1ddmmGYM0j5htqOIyIuch4NkTXhC1NxORQbE3sO3+
4Ci+nJLeHI0dzlH20krR4cXAIXl7bJsx27iseNWuEq+b/oFm9KpZNr5/Pq79dvqhXbQgYTXKozi1
z/3C+HS6Pim7apcVaDhXvW1r9zU5JvRspVYerUVYeHidDv983d+O/lwXJ4jA3EpvmpPi2+/HkTwz
iOSpdjLJrKdOgZ2WtzKTmxGOcLMu82I6WVbEXFwPyy73z1d/60nn7M9fLhxtbNkWH+K8ETy1CdUT
5ME7wFQcQBDJ6/cwgcsjsVLM9l1Y8Xe1ajiWLDtviJFM7q8f4X8d0A8qdnS6l5LAv93Qv3VAP8ft
d8IJ4+JXCv5fP/VXyY5ca0fFTq/RZlxqVf/h2YNr+hcDmrOVi5bCBGBHvePvJqj9L9zxPCvqL4sV
2OBj/F2yI7ycQh00BIsqANFi5j8p2b2t8dDHB22xgPPo6oNsfE29+LWigC8fXbaIrKO7nLZeCz1C
K5rdPE0scV3Tig/s2+9d0GaOoGgnVAQYZy9Tyreu9CqHmyxw0mjDCHXTZedgsYDsQioyHyAd3tYk
f35BWsXcL+qcMDfPJic3seBagXY92mVkPSUuFzCSRLtvxRBvf3n275Qk384Tr5fiUfOsqVzRuj5X
KjQRS3WfauYR77F4iu2k2YkO1j3nrJAy4UyVzk4T7er/Y2p851sykgSjwVHBH55PEmOdQqMmIe7Y
6om5J+uOmQKqGhUh+HsfcqbfalNevygjUHPpGGkOqQhnzxDLT5vbMjaPiO25kF0txyx00FRhhs5m
11sYSRUdcilbLL0NvpwvFEPY3smMfbqqF+4/YhAsH4ipcSk4O5oNq/s8mAEBKzrLMDCPPyshbl7H
W6Te/O2/u5YGkNzQGMIMnLMBFSYG2+tpMmmHcTjsTTbUdpdT5FmKSn8eUMt9/M/C+vNrUew1hQCT
4ajirAAbdxW7h7I3j0MQvbQ6BaBez5UP1pffh46lMgmRkcE/maXOHqY6JNg79cw8zij2jomDMGvl
kEzpaXPKKvvnb3TG/Pj5laiUa2ixYKz8VrYnq1AD26sZx0SPCTYzBq6pBcpSzwbQ+OhQaHwywVEB
YHLlieqvscd5Y+w/+Bi/j2AL4IiK6phXlar+8ir/UmkOoNcGgZWaR+l0+sGgzw3JI3Cdi0ppGaG4
EkADpTpHgAl+G6Ww5eUVC6GXGaTZ/fnTvPcETJMYAnd50uw03n6YNKOumacVL+9SzEMPNq7Goi+P
ZkXkwD+/FLsYmki0EcAPn40oWTlN2cCxOcaYxE5wD3llEaww1TsWT+LPF3s71TN9myZVanspuXK5
34ZvFXVlxlFfOQTU5vDuYu17JIaV0uvIuXZAOux8MJa1t1PwckkQ0aiGrAUav6h73t7KKqU4gVPP
PeBLirfIi9kctk0rTxa96FPcBjxXA7z1TeQk+v1rTTWXHb0GpeDwi/Sh3s01y9/rDELBq2LTjZZ9
XgWUFjkaauVHN4k4qDdvuWDht5fGm1h6Hob12/a5wKZiytwwD22mEoO5REiWS5hkqLX4hmDeTdhS
syxpoDiUSTVZa41fdtuw8SX8L8HItArygAcJfaN7njnTPUMpYOi60byc8IH+R/6i8h/QHYxsFjXi
EJ9qWMSnDH3TTk34MSAHBj0Ofs5vE93YjzrW2Q7v8dEJTePQJNxAimrJdBPGGeV+1F7uQzdHSuJR
tK81TACCX00dsaGI4NId8YiAwrkV9rGB3qCouQbi2iNRutMN7kFVXZkDBWdIShVIuKhkhPystJV2
N28VelrWYaT4ccR/l1OSaDQqq69NqBQKFkalQq8OxN5MJ4Ax1Pj1TiG6ls1w/FXDLUIVZjasdImS
GoOHOisZe5izngh7ZbSbiCqfJs1tn1vc8qzQwyCeANjp36s5QFpZ2/WpsTgEihF+Jw53LFbMv2hG
R2Q0uadNmnavGDUvqcQJzFFbQeZickcDKvuTqcfbAOTfM6UAx8dHod13cLwofI6BfWrbcH7QBwqU
lbvU1nOLkjve3PY5RddJRCz82vXcYs/0nKXE3lcTfwpxOrmuIJupMiWTdj933DezVzGWvq5ysJFo
yLTAnTFdwSFcePwd50TbZmSDqcSdzkFltg/RsjFRgET8rOKjL5UnqOeWXGP5ok8hiky7go7MqEnh
DD3ZFuDm1ZQkVecN5UJ5GNSAwlC1zJcKih8aC+ZAeUrHjVd7oC1TPMRLockqI96/Ug0nBG1LdylS
8qW6JHL6F0HpUPO1J5P1pkuRxawwAjKWiSB0H1o14Nc6S3dFKgZFMA2P3wqI9xLWgtFEX3VIxg2P
0O35crazOUSen4unoaScZUW9q69aWMuZDwO8ucPore/meQxtXw8t82sxDMW9M8fTJfLfzK9prmrI
ejLN2WgxOalxhmwZdxmXaTOJn6CYy95X28C6z8CYgwklkyxdoZWYrkhbV4+5SQ4ELgfXXUwBhieF
YnpTMU/3KQkSa4ReVXVIkVOzM7JSlFNqW9x2VUuFjiy0/EeJNeHFMedyL3S7v0IP3BfehH0NKEfK
zOTNGRMXPWfKI/glqi9WljbtphWT9V3OtuZTcSou0F014WYBDI0rt69iX0vgAgD0KK+wB2ojHIU2
+hoCyVzZHKMvEc5Z27qYaIZMnV1v0c1bj9Qou81EVf6rBVrvgIodd4IczflrkdXpWgh99loNN6Tv
BGLwiHMuviaw+TqMc1Hrp5jhtstmFKOeJDnJb5pcWdfsAfEjQAwhiK1bJiaiRfBInSjkKXtcHxBt
mqjdTKKffmBrGdeREiu3k1vmX+J0QLIzFd0KpRkOT3oLSC6bJ7tDnUUFWPGhJkVePzTaBm8mv8hR
rkzyzZn+jQDnQ9oYZFAvh/iy89LapZKxamizY8nlyVfjBTtdZ6cb2iT8ggo4YQcBFyL2OPDNPoz2
DuBYj7h1gjFBJq71vOw/VamFUwbg7qYXKdiFSP2e2aSHuhnN0djV5KZVAgOeKZ8Dt0J+y6pErt3M
9H5hmTWpDJAs1qMd6slFiernRu16bIZEXxqegvi1e5rwOFwpesIrQRg8dcWyIhf8aIG6BLVgSKo7
zLYddqOlQVvOrnY/qTNDVsVnRmoBluW100uhwjiMJD4bWGYU5+2ATgVw0PIx0Ex5A11I8V7ryl3r
sh47vaAxlEGPPP5seKpwONttGndMQa+l6NemniI5R9FIYwtnDbN2P1TmYnCPRL0zpZnIndDS6rGi
OchHsweK5mlWZI96WYfs56i2Un4m4ZR3Pmqr/CtcWKd6marBpKFpY6HJ7K7FzmqOPygm1yHWJ0V8
RlHo7pvIbXcACtDLFri2e3QQSfQNf9NTgh12Lcx4AWVOTB9fMuLKlbt4rkpjB3LfuRoaCmAWrp51
NI71LlGseQPOoPo0uyEIBSTo46dBNPnJCqsXPZu/SHrx12mndzvmVZvsCLfBkNJX+nNIG+p5juPx
LsTRXd3wxifrms6TC+fFHkEzRHFKUiGi/AMarxaQD4EFuGtoPk1eioBy3KH6U49mXU6XeMyNkzXL
GIFnnvbayuIpIMSinvCgFIMs1lLrskvZNOb1TIDQda2Z/SmPHSDZpdZ+h/idrcuO5J/StQaICtWs
r0Sgx7T2HQMlTkQ86tjPUHrzOmO6AKThJ7ljHqZx+BZUyng3dmF6q9EpuCQkVHxNQaEA26QjvzB9
UIHWkxFeueYUXzZSGAfFHVEGR0PYPunxWB1BormE+4r+SIlQIaW+a4n41pjyNgqbWbRzGv53+NaB
LTcAco17K60qiNXGfFfFUXChTv1820VocN0hHB/7rKv7Ne14Mz4AP5CCxGxVoSIfAGm8sqQ6Vls3
6tsdp1zlIoEs8QketQ4AFfpVscJdq4KWZfBcjazwLxom+8u+qoatZCE8FkmbZ37lRkG7KjWOFxGT
2zbFMkTXgZ0F5sfBHm5DHXjOqkgCmgstU95jKslbgU0rLmSsM40aaGA6r0biPfp63vQBeGVoLR32
Uiwubq05ayezTSZEbfxR6lYfbFylnpE8hubeNIFhGZk179rejk8tnLNPvTa1D042mesB/q83J0sv
A2HQykRWra3knNiggUebnG94bM/wdViHOsLJvEAZ4szHb8/OeuacUmSzjfu3DOJrXbXlJ7UZlUuB
2zZcxUZtbBzFaGzQTYXYkKwiMNfrsdtue8buCxJV+blyjO47NUf7ebRQFW5ULMat12ZggT0ydnCR
ErFUvqBCrDFtRfPU7+yuesHkE960SY5XaY7b7mCMEvl6WRaAyWRMhLRpN81iPWyulWxM1voSMOXD
mncP4TxJCR2ntFHI9mZHri6eLFL67OFLZE00su1wTq5VO7BVbMFFdl24GeSVAlH5baQYPLWfOev5
z9R1SSucDPbXQ83/aqEf1EIxIhkcXP/vWujVj+HpmWLgL26Qnz/ybzeI+S+V+rmBh/ptsKei6Rx5
/658kpur2gBPLZ3cN42199+VTwMdI1V4jgbURHXOsNY/qXxq+tvQEKGy5C6XQc2Hcki3zw+LUYc4
GHeocWkHrf0wjaagT6wpzUrMWAmnKK9piVXlwcKorDFP1MMauVi7Hi0nI+O8rWkeq73+RURzegW3
gjDvGh6Y6elVLYXfN+b0QLtn+NKlHGC6cJpXEeQV6bkDgCE61wlx5KRNDlvco9qpN9rysRiC4Xpu
XHZ+jlKMPebhxp6pTTTjJs5NIJRNkkO7SnFC2NXUbS2Xj0jGUyLJ7ghLM8F8x4YZZ6BtbSK8nOGO
Otbc+4sN71vSZy2+0ylNn2tbqa+Z6od8NY65vA4CUI9gUwK+O2ph+GhMPqm9L6fGnDez1oOhhxnF
fzVaUemH3gk5yLHiT/sQYht4Vg6qysHhA3IqCmYlX5V1TgtQd6ry1qUZfpqTdLiuMzY/CS1nHwSj
w1rdlsM2GUkHBelU1F5ilpArQHfIm8Zh9+tDGJbsVkmC/9RVVWfPlT8GatnVu0ATKAagZoaGvXXg
5Ycbu4nVWSWQPW8KGCQcrq8Me84LzetIn9hDSS57vAxhHVlegs+tKFLyHl9NO2Tlma1xGlKm1ObV
2eOIOBjkVVoPOMRhVsYNYRFl2OT0kCu8zGALDIvNiRIlwXWgTQryfpbj0YMFZ+iLnoDNzAVK1QEV
QY06t9ypFA2Dow5aPvBrsx2WgWPPu1kmUO2U1wS2lPNgNhy6ru8r9Uqb8qQzIBm1LSryfJWOOiva
lzCIdH1+lPFCPnruxrrL85XAaZ4Ft/+b8H4JM356zuPCZyVq4u/dr7MXoVwLc/n/nvA2WQlc582M
99fP/N36UZnwKDHSraS5Iqi4/Vut7dj/okJioTvVaLG86q7/ngANMsCp4dPj4QOQ1/NL60fHNKdD
oaXIT96Rbrn/SK19ViujkUlmskEbRjD90VU9qwWGo1RnXs1+p4PS6rwspejpUZFxL8yeyAWOt01x
kVpklfhu9GHT+G3RU2C5w9y61CBRcAsm4bMKLJCaGeao7LZjrw/wOGixa7Ge+RNE139UX/3rUu6i
f7dNOIfnnNvG4PCr5aLbmhpFQXwj5G+0UYWzRKv9X0bAOy2g974Vt9I1UNrz0M9b1LOGBHIyzQ5q
q4y30phrH8V2CtPD/iiW9Kwv/HoDEdqrNMIZFMTJvS11yoGMq0xwA90YK9ww6beQUKwXOVh+WASJ
Z5fGUtNGBFKB6vig0Pq2M/HzlhoCsf8yirE9ntVZO8RxgVF1HY5f01oRXxCtC8gq/6its1xF6IxL
ouqxNVC2OLtKGzpGO9RBvwXcZ4G41xEBwnyq7WGdVPmHfa0zfcHr5ehIYAbFYgHU9qwTIujeUyno
+m044dSJ0uYHVPYX6gT5CjA6RjSC7f88XH6/jYJgRPpoSy4ynq+zyn8QpcnIJrrfJjQqPAJGMh6W
W35Q9D8rML9+Lx3TAjZ02q6Awd+OFLMPQHDWab814oGIRkW5IMjrmuoWHFoVveOfv9N7d/HXq509
NFwUYU2IWL91hlFDLgunY0DQUyVLFLnrdqsmTb/9+ZJnaYo/BwrNdSLg2FoyIM+msilKMVONvHZa
ZKHoKc3sIQRquocU5aDtD1O/r0/2MDlezRr/bHWqc6BasOvDpoTo6Q4A3vRx1Yx29V1KQ9lP2AVW
etDVdwujGDIY9cW0nj+YmF6b3f9p8L1+bhztNv03tAH6byPOaUMEhVAUtmi2TUpOyogXksPusIZ0
u6RrQJStCInxDe7eWs+k+VUFcHMDh6e6okyOELcK3Wt88+EHL7h4Z2hiCdIIG6VNxP/OXobEJWZ2
hue0BSmBbjYSftzAoKkdq8PoG7afCP8BnjhaFFnLbC4OEMCbCxosQ+rTUqHctzgCzRY0GPSPlaFV
gR8UmJ0LPZyOYa83V7o1K3sc2NThwNP4ICRI0OuWgjdyzocOPJ/nGjElDlOxN+QtxoB4G4dqqjx0
lD9X4I96rwuESwghyadm+qkfnfYqNSdK4MaMTs/oAego3XXpsseqYzbSk0l9XCKKulCBWn1WmprN
Z0H1nmyVl3QyTh18CSpBYbrDK9xd85uLzZ9H6+8vCP4sNga89azBv9lqYIiJXozLQ2+jK8oVEflg
6l6L5T2+6mrd99Cm/4srLo0mfFkAf9yz18OFPQ1QL+22TRCAFTIX++V3tzAvGqNAe+taX/58vd9X
QUfYzDYAqRdjzXK6+7W72obuQOOt77bYJquVPqDPo6ZrrB29mfw/X+r3YeoIB16ACi9gaZ+dDdOw
F0MyDiWroDOIY6nU2r4ce/uDG/juVVBgsU0xcLedO6EIxVDyjiCerWI1Kvpl21V2hHo5N3/+Mhob
wl8a/st8wLdB44YjCVrmb+1Z9JyzZlWUYSSCNp+jRLKhNRz6VkuIoskplS0FA5/zc3honM+NHm5L
M40/mpbODsavH4MtDJ5B8kc07VziUNcltNvBBrcuM3uNpDrbBGPSbcyxg1lgmLO51wqYn41a/sjK
0T6lXTJuQ6EOl6SHGwdiCz4MzH33My3kB1g47tLgfDumQlNRACgZ7RY0UbFXG7F2VcrIc9HVV0GL
aT+iDPuYUSj2Mqgy1/Q/yN4AUoddpCh9u8h+ECk1XKWO9GkFfe0TeCE1Eou7iTg+DuOx2Amy0A7F
BLxX7T4SzZxXG37eVBf9Ilwvk/d/efa/Sg60xs0nZ+SmRtMpbOxq049m+CliFvMqHMx+gBvNy22r
Y8Vq8gNp8U9ObN/j0nL3fRUEHlS2YU2F1L0tZ7u8p1/0YxYBubhO5G7GKpz8MU0U1oou2zQx7YkP
Rufy2r5drbCI/vINzqaRsYOzF5ZTu52UJDzQoC0OncCmgQXC7+KGSb6HxpokKp5yKpJtBc3tzx/B
eHcUAAxZykCICs5fd2diLqFJ1C600w6OI+rpb2yrbmyzLSAwq8947OVndKrR93aJRhtCapX60siM
IOqF7UZXKcU3NFgW/PSYo4XuKy/iglspAKtRpdB+TIWmMVXad7ZBw4tgXd9SXOqhtE21QagXitCy
3VyWT/ag3lkTF4LM23vV6Lbig3v++9YNOh6kAJMdAvKc8xAgBA/knCE52dZJ9rkItvaQZL4y4ysp
Z7odf76770zbyHcFJ0+Si9krnp0oWlIPiqWdsK3C4sWNHcgI2pAgrv2nZtrlXeBKyFpdc5HmnW/s
Idf1QOQEI6kJ76HAhnj/ZjrAeM3AYk8p/F7VUpwDqeMfpbm8s/ouip8lVImFiY3329ewC+Mahq26
VLqnx6BzbiStfrTyL7ScvnHktT5YoF73nmdvjYX2BfQGmidhnUtuIHK2Mo4ZshzDC4p87HsmOoNT
EQ0eidY/1CC/xwgj/XCq2NyYDiI6yAS+ym7lz8/33cGEapSVhcAXxE9vv3rcd4OIBt5f3Eidr1a2
tTIjBPtKXFLEipKXP1/unUXTQjXCY9Y4e/9WXoXgkIZ5L3nIUyO3YaUF3kzK5gdnxHfvr0Ylg5HE
7UUt9/ZbJa0WlppJj5IzMimgg4TRWQDzsQJH2Y8t+OtwgJtJZm22HoMwB0mnZWs5KMcZruAH7+vv
h3IkrZwKOZTTnBPn7+s49WImd4kPMxC8EYV2uGmbGaj7FHphDhW3avNiizlRX5U0Nz54gbX33mB2
Q9xs9u3oBs9m6A6pnG5gU9xOmhl9q+yGHhXEze4aP56gzmuVRBuA2Fbxak2LoQnHfiZ8NakINYHH
EqXeSMbu5RAZeD10SpCaR65J+/znkfHOx0TMjriaV599zrlaNYLtMonCqrc0s5tNb87Dmvaxu2Yv
H39wS965FPFNpo0OjTIcEpi3oyNOtLaqUbxtuznIX0xjsm/nIsqBxljqf/G12IOSlGctJbXfZrVq
sTJWjllvhR43tyQ7WJtysoMjKcFUEf9daHynzPTOJMaVKIuwRbQpap2NeX0OQmg1XCk21NAPuqK6
y0O6iaxu8wokPf1CPOAfTB/v3krO16YFxwIn0PkOLFSJqKDev510bfByIfG4JTkKDxVE55+/HzQ5
nsvZrMlOA9E2sXqOwYz19rk5oJX7cNYYImaDu92aJtJY4sgcZ59EziLzrAZxicWeHMurMYzKhpNj
L9czoUf5Lc5KXq4YcZC7D9ope9CrATkTxkmHrJQMVjiW1jp6Kkdg7SlyyXYTRhkO5pZWN8ICvpLh
2VbpOD6ar1HbjLS6piOFfncbTzRk1iX2qYS4+0i7t3odaSCcKKFvCOCW1toA0Kx/cYGd5z8sAq9o
BVScYKKjjAgNWYiaTfSpzUpt2mdQcAkLibWcKEm10g75LKWybft0aK9EXvTOpQlmKri1Wi0rNvy7
Mm7ykdQPuepNl/ZIgT4mvHTsQth+D5SdAFpRZ3cDYQfBoSmUcod9tAhWU9joYMqj+AF6hAFxuDfL
ZE9+Zlih+iDHdvGTLUItUnOai2TgOIlYwqWVum3b0U19OQhIQCV4bARPShuo1B3ySverXCybqxjx
/ZNNJMi0snHverNDWO1dJbDTbYmSQjmI9m24I9ug6dZYnl37pJY0gNb9NIT9nk2s3NSOdOONCU2U
uJwqnJEatYm7LRqWqHUWLOU/VdHdFJS4cD7Bx8w8meWlASE9GpBwVZXY5U5/S5130w+i+gyJPvuS
KY566oh5RieJNEVBM7k2ave6z6ZNUbcbGdnFiRyg1WBG4RqsQ7zVzXT0UzfNAS0NB2OYRpp67VOS
0ooXvR74fSKNDcjvZ9NQxvWiZV0o7fbWakd17ZqxtTXxrK3YMQOMghd1bM1KfrM7JG9mP8Fds4en
ubbEbjAkYhE5rTBePkBwWeP2r2+EC1uNXJb4JiVm0OvVWDs6eRZdGiPPg9MCNGyEhnI2xFYo2m0c
o6KLQKPtA9dMPZmkPZuK1vYyVgm/be35Fkznvu5MEEQzONR4Tq9Tqksou5pDKiWxZGpKzktH8HEC
7d5LUfEdRyPCExw7N4FjnnIlkmttdKLNPDezNyldj/QKV+HM1vVEzkb1tXBa9aKIbLgdHXZAqXbN
i6XUBf61ofLp5uFhLUuxbzIXfSbZy3tSxPV9i9N3TZHioKObwoaqbVIxfcnVvv4CKGFnC/Mu7qcv
QgYFIjiXQl0ffMlh9De8gbmzH3q72AwKIVUkMiK5c4JDGxgksoWls1YTU+E51PPKTFwIyZwbTnGj
DDd12AAF7iXrotFewNUHQyZJdZsUoqVqQAEIIOIdCbf5rsid4cVswQdP8QjO30+HuJsnry/rYiba
hp1mEwak3bvdfVqSJL7SGTyfYWcY0rdrzhEspkwSSdiPKOxoF9cjoywhP2sFYGmv9iEWzLIrgVLP
zpH/U64lL8Q6wFU0tRf4icOxfYTeb7cw9fXAHFN/bvXmESn9BgEvzUhF5zNvbUUvv0ukZtXOSDO9
93OngU4/lSi0L1B3dgl6EgeOQTYNAmV2GavIh8s63jUNdwolZpH5s5MP9xFV/Rs9QyYd5EUa78fE
atbCjesrbdQdJMq0I1fQ7uUhilv1m7VoQlfUd6u1PavZ8f+xdybLkTNnln2Vst7jN0yOoa27FzFP
ZDA4kxtYZjKJeYa7A3j6PvgllaSStVXXvjYySZmMDAYC8G+499yGQ/bX0Aexty0mkOCZFqlzwRHi
Pbkqj75DhvtyTRVQ0nxHytzMUzC+sGcqv7um8ypErL31Cca0A1/diGuI3HdhJYMJSPppP1CxPAeT
m32onteZELEjgLLb01zTT6cjxBY8T/0bUzjWIFmPqHpQmDVWiRO270kctL/axs13+Wi0734L1pvY
paE4oqvLdynyxTdRt9Cg/VrrDcbNctjIuefmKGxDrHPTzTex54l1RsF1lK3INwjubGy0Q9jtcvqm
8oAYkb8/AIZ/bSMdz1vWyVawCmMdpXAcgLKtS1aDx4ZcuuU7aOhTHGbJk1kmiGb9Tto7Elgb47XC
P4b2pcnD5BzbM2/VyxUG9FHquziK4is6sGBTm818Vw+LGjlxeVWnQQBvpt6TGmwxr6hE2pPXJMk1
033zyejO3jI4E9cYn6hHKF/Jkl+O+U7XI8hjlBPxtSga5a8bkYgrN1HLTcXVZQjfnvIyJBE3SZqf
nYo7QPgdjqqUzzvN8glafzXtg4QPFUvSBEzbbm+N6JqfoCaqjniNuVFQNzIM9FR8BzGWvKyBCczq
3PbUWNjyZ9U3P4ep6d5Vwuc6+377q7Zi0itmCeR81ZIsc0LvMO1lOPRfoe7F1Z1bAwRMHcbXMV0S
17SHJuFrxoQdwF+3tUNMncP+HQwFxzIyAiz7a4NQwhaCdQKZIZASRVgLAvq5QQ56JcI0emlgRmLA
lzWKWC/fDMDjiY0BsG+tVEARKaRjb+MhaE8TIWSb2JDq3JX88jBtx5eAcEpw2lF6cBp+ujGN+CrD
1kMLEggq8Aqxy9V12uLY5cj4V0PIEGeT5jo6wfnjL0QqDFbkCiKYyJAyytXMfc4Yq+rfpomhNfRK
HEixK9ZRNBVHqxuWb7lMGsnOxRZPJNipV7ceJNmBSK5PhTDzx2Domh9OlnhPRji3JDRWOrkSCF9Z
q96tuveixSOBJUS+ms2YP6bL5ba7KLiIzALR4yr+odyAOOL7eH0pMpKr2/Op4RifHkyQJ9/mXKd7
Y3QFyUZdED3aJca01kyqi+doXrGe80dK9vEFYmP/NWvlGieQHH2yNYjc+/YbxnzrSCZYw5m39KQM
eggJ155R+xVP8hkfVGp40aOb0HKtGtmjQykVkFF+d75JM1Q+Hr2eyzeNZ1ZyLfKsttbEddYPBrky
JHVMBdfa7APooZ5TB9U67IfvOjDomXCOA9kvNQbzOrNe3Xgh2CC7+O2pTMJTscf2xtNi/q7R53Zr
z66mfN1lQv62QaEKrpnPd79p+Fg8TvJ+b+rc6lbIotDt24XxGA4mTzPfU7+x5LS3IaoY/Ld2cz+o
CUJOFrU3awjiK7HD6X4IF8jQAm7iOQbdYgq4v0nHGt7aNK3MW2cEPc/4Oi8Fap2aDw+PzB09cbRr
wELwEEP9xNx0cMDBRk7wOffBcB+VTbxXhKYeXK/k0nBsXpzOxXIi/Dh98Ny+2TWV2790jYLkOSff
0GP4v/qmaTaRapyfIoyBgTfoiRt3wpjvkKAlFG4Pi89rxUbT3eTILpD3O+X0aJVAwyhCoPy7GfSj
YiExGvUT8Qx3ChgRu0gzpZfpuo2WYUayeHACZa5OWdl0/LNAeU0NxDDxS54bzsx63UyNu9EjV6ea
RPTkAbE6hmMqMUWn5YydgGVjiwv1iOzxpKaJICTuzTsz1t2liv3qFCcVAaS2QwkIiAf2UPyDXM72
mPvVYolQzhehFqc2NS0eaQH/4fTttvKsBuou1jF8O2/U2+DtzbH+Geplz1QPRFsa9rGNap9tWUJB
qrJ6egtGHT+aVaJ3PkZyD2PUJtQGNKu0rQ9kRfxg/ld+EKJFIohf8yEBH4150NPhIM/GJLGE5PTH
3DCJHYsMGL+l2+x6KVl8WZIAhEnrB2CNBIxkWf8kW7Syjg7jR0kC8wpRt/8gzbBaMZie8IRE7o8w
Db1Xrx+KQ5r6r2NmlnvGpWjcTUo5qPwTqk3gE3dpwOCmtuxj5MzWT9gDege4y9wPoGdxTAFH1Yqb
scfuRXoMo8J4mrwzxYX7lrkCsv9Y77ideADXII5WsQduIyzC8JtUJPttxPNzH5bhjGqhdJ8Jtslg
dIXuTvDsOpdRX7xawvdvk+IqCWBe7c6nLlyRvRpvQV42v2dWTfa6iYf0vs34GqRVEYNIGivCMZsG
NJJbwvgdG6CXLBBW4UwqgfQ9CnrYoT+yacxPsa4OQ07M7kq4xqWesvE2m/bbkBrljlsR2vycUagJ
RPgR9ozSFdFLkdeUGa7aQaQys1UTDOljYHbzhniq4NxP6RKRkmwTUeQrMtjEtWwEWfKJDi2WFsV8
nKZa3XnIxitqNCPnhvOqUxOPxMtlDpLZFt8/911X0ZaScMxtxA5N3WEmyN5LOJB7YTGAZ7SGuL6d
G0YaMjXAnBG7dJkYZtPV+Qofg+yy/BTq1HwUvouRyx8PkcLJE/T5XcFVPveVJtrERYw/seAhUrYf
Lsx9p5XXZwcL9AemBmdFn/OjqyvgyImYkTyTbZb5VRKslBqs93Fyu2Nt+z+t2fsddXX7ScVafOIT
xpDR91CnC2HsHCXj7eDL8jYRZrMp8HSx9A6HhaVCOAbl0HhQdqlgjTi1djfKN3v/4Ocw8XhoePXV
IGQQd/Hk11fGNzXk7CADDycLbDl8R0X2WcLMvtltgOEiZY5M7BYP0CzRw1fR2+bPCljSF6EaBEjZ
WGuvLSqAk0Cx+IRnCxpvR8XDdUtpcsC1EvmlDHxxRYNfcUZo+cFpyexshgQnGfrzR+irAd5UOZ1p
XibuKV7Aa2VeD1+97Bki9JMsv3PwaAnpNUP0afaZ9RM5Pid97U5Qd5Aof+K6owl3o9Qg526O+i9D
NMgn7VmF/nbORfVUtNh8Vn0y6nrnx4Oqd26omWjIMeHrkdiSAqeuivop8WROei5Zb58gCfiZsBnx
6vhZSAKQC7MY/phDjtdG9bzLbYZKNthUqLR8mpiRfzQDrdKf01kM9I1mpaxkrRudxjuKV155NgJQ
wq5m/LhJ3HAy9iQ4UAIMbEhBfI1g4bLEdMGfdCVFaxF5XCVj5qhbF6OMPlWnIEdjCgS3E8Wi/LYl
GVkr2Tq4bDXi4c+/fJhCGTH0bdaT6XruTZRpvjWPNeQbr947oYjXxHP3OajuZSjgWG71JNCPVfsi
zRj3oCzAJUTyV35oLKZAV7sVo7UjOlicJ/JQnoRGUcElZN+61lHL75f7gnlI15h5du5RMah9OSH8
uAvVoL6Vx2x0JW3RJHeeYZHGMil7X8mqeiut0L/lftgSrgog9FknTT8dRsbw0dWV/NIHW5m8R6py
3nVagY5nnDVWBvu/Gi0914R7l9l/AiMRuxWMHfIlBh4Sdv+V0r2kK95seJl61f9Osz4r9qHscMfJ
sEyzPTw4FMUF4B3qXS7nfKiY/510SvL2iu8hFZ1I3CY7ml7HEIWoUrCAqzbFccY9RcPNIcz5tYY2
Q9JURY5XubbnEY9JohzSqZcSsvArXFsF2sAXKzPtLW5K88ROujvoUjq3Mg7GC1qm9JWER/2ibVf9
Zaz+36L7/0R073jII/9hdPqvAJLf/fBvr2kXp1XKDPnv2vu//uTfuMH+H8iLMEWzzUcsCG7k70pU
+w92UlBEkPGx6Yde8XcpvolI1bRMP4A1/M/cYMf/A1Och6IS1zLSMmjD/+d//Rr/Z/y7/uv4uv8P
//vfKlk+EIIz9P/7fwAo/udxL068RTDpcpIjN+Bd/sfZMidPUWV47QBLyDPFuMB3w8Tt7EAOY7Y6
cMjl0rEeYecxGaBAMckhJaPQ0geepnivSNrydx3d9xObOIP88CJ8TYOBIJeQLEdiREMcbaNod9Ir
EWSOeSKOfYRHZiczGc2IuF3N/CIQhVi5ufA2KgRhLppyPLSRe6qCXAL7YogK4zGIX6wKDxVowQ6N
kpcx69WvVs/TblFpTC/zoPAYa+aLqVqW424mb7gprdNQLyfBWPWaZYdRqPVsRO2j4JC68CNWwzB9
iQWsjVsaNVmPZSbThw6f8d2sp4r8Qcd8m7tOnaFQTM8kI0AD7frkwQ4JBaW2WX7zgtMIk6KXYlfP
ip3nCwXWX0/lU5wIsaNMh7rf88e+2VpnIn9e6rwWqzgY1F3gTrtAFcOa7Mea2K8anwKpBcNTjmT/
AXG7c4vgKnDYeIBKWW9IfuMiMGbYW6hQqTjcLbN2DGys2za85xy3AJlDZPJxnhm+D4vKeSM4vDkw
aL/4cAP3lkyuMfDTgQAE6P0bn0jatSu0C1oznt3LYHQ0IH2FJjPwZgIBy+EQ6mp4cXtMyeSqzdbW
UDb60GxyoIv1leB6CHkBiX8YMvMj5Rm2kfwu2zwaXqNqMqmHupcpJ80wnMzqs9PZdLKSxmcBHSQb
DJ3b2OL8K7I4fqQfdipKkbq4C4heui9YH/FRF2Xir5qy9q6x7D3GtEa0MRJffURdZN8A6GVbEXvj
ZZqb34NNIABly+xtl6PmYQb2eRpBnGKrd9bIkMcLarsIK6PHZLkyopvlDO/EJdBPYXk+Jl4XxWc9
mIW6jZzt7Q849v2nqVv5nbLOvHkUl+csbp0nBtQ4QEQlL6LvW289qJKPTFMe3knb/NTQ7u+NxsbF
qs3fEI4/fa3rnm1O1R4hgWCnZKV05eCzCNzspuAjiBP5jJGSCR4ssa3XRoju5hKV2sF0pch2nPCs
Y4pK68+ECBJzYwFNbgguwFxLkF5HuctV3gogKdu06pV5U/VcMEJLzAvxnz5uaYv9hmrsBy2sD2g9
H2YHTtnEUNj5hLsdQi9tsCH6SdvtFRaUvRnb3puIguc4an6btoxQnfgFMaOovw+iUCq4JgUxn1XI
Mp0hh32IeeY88gqEfyD9vu/b9MymSx8Jpy+xAIIOw2kd99q+wwU7x/sgGrt4Lbvmo0yNRj52w+Tz
lvpdZsjoQUnkWF2bY6FWjtr0yht3dFf7yXUA5pE01d5s4szLA8rbkmApBv5nrPQZVpMe29pqBNB3
1wsn2vpOnRyTMrK2bTPolecbxsZqvODN7Uqm9MN8rkzfOMSYj/d5ANQ58mxjJ6JJrQjj1DtaafS1
Y5G/Y8qcNmXW6jOiIVYoA8kz0WTJVdCjLM0ZTtzI4si3DKHUysN6w6o8d9dZW7anLHcIZ5Cy2SsX
7qKyyvhOs/fiE8jm+bmFsXoUQ9DdMdA3XnW8SWRxliaRJeCMabPSZc6OT59uqTlT27zb0ehtajZ0
x3GO5q3gb52ZO9V3VkFm59Jljajo6taGgsjOyj/mngp4UnXtzSE27xmVXLL2PPjfibAI/p2aedpH
YA79dVjk+cechRJdiq/PwrUWIrX6BJBIIaxkMjK/YAa7sIvwS6p72ADTNzM7xZ/6/i4RMVNAP23k
foxwzjJhwRuesFNKvMra1LYpjxGVHwkJUXchzviTg8XbIX5Sh4rRG3dpVBNuOjRae+uyTIdfMIac
Yuu7fn+hfAt3KraeYgrkg2OU5jk1fdJqqyDbFz6VbjJ3h546cWVxwG4rn0R0q4Kja+NXOpqTb62j
ME+OnnbHLSZ18+wNGtHsEv/eN6Z9kaguz2Plp1ti5x4jjy2E38f+nkyYPiApNP2W6SRrevzAJVWQ
Z6/Grb8JHbs9tqRIs46K83Zjjs5DZ9Vrox7taS24Re+SJk7vU3MkBLkA/zPNebhhk22d2OVEOy3b
81iWLRY4OhxRdyOChkZvM4bEl8HBVjpLNzl2c/gzCIfyGIvuqw1juZW5/lmWLmZeoBmoWzlurA5T
fdfHB6kLZ1NGOLOZKg595dyTyUinze7uRqxiueuM/j6eskdp9sZNJxlqHQ9ZEKtW7sbiPvaZWo9e
zmADMrgw4Xj03k4wqN+4eUiajSDFFv3wOL24+TSttORzfSSgNfZOczZM8m7qySvY2pyc3cpOR9ia
AxMSzOWuridz61XBjI6D5Nj5qUzN0HjXvT1Om9T3g3mTCvLpwA1XSHXG3CrI+SHz0poAIaZPwu+8
bDMrdForuIzuvWIEyNdKWM7KzgipW5lWV/5mMzOSxSrn9mrXtpFsGFTMb04jx7eSPL8TiEcLxGOF
BGyCY04otz968EdydTK9XPPoLyo+A5UMB7KWya0teWIGueH9mLIgI7BJZidlhtJZISUoH4NZpqfS
LPsNOtet74d6N9kBxGZbsnUetHjop6Dd6aC1dk43MPYoKx6veevwAeUT+I3EjONXd4oamkp0/STQ
9xQd8GsOaTcTkmLOQq50LXHZcLrNmj63cc5dI8tkO9hdY/UrgluZaXNymTvRc7YRYQOPB5wBQswZ
xMtp6q0qZg3VK3lEpy3PRZIbR6NtPQo/PJf5Cv0NunfBQmuN771N2RgiIKmROXckY0pvk2O4++gB
C5CUlJnZLUi69jELWX6sQo9cw3rZu7NDHXcdXpDDbCVkLbf5qMyVyYYf+1M3DW/MqUKEmaF1KbMF
DV1w8d9nJ3V3Xi/2zhAxikpnFvSEvWAVb/M0IpTIUYeYhF6FsqqPCYUwynt38hZsg+Gzsi49Ozi6
qWu+RVGSIeGneVvH0gnyHeahivirfDBBXA/DOw/vGWBR753r0Prp+vBsJl+Y5YorGrWrAqbIuAq7
PNlq2JgTi1FBgPDAgmXtEmB8Zb0dWGuQI9DdRXLXCN3sQl0OMIF9cfSgLsCuQP9w64tO5tse9sve
rVj0hVy0U8BUXW1IP5i+xihIPoF+py/25PnnyCXAc51OysfeSGm2Ic49Du8I+3aI5fXfh5JdEOFc
pOnEwt0VBoAWGxbFsbOnuVv3WeZ9OI2r9BqkfHdI0cxyltjhXZFN02+bAJr10KbWD56n6SnVhrWd
Wtd7VyrvoSeQ6BTtDKJig81gQjqIh7KDWQJDgSA1Zys84pPZd+Vb0swYNo6l3AoY/+fZV/p+Ar3w
SFQitFnytdeZQPpU503yY2o1UV92XbtQYOoB3IXVdNvWZlhW1vjwHewgW6Do3o6G3v+ysZ1fIILN
9wHjt6dGw4xb8zzPvuvB6p/DyizeY8ssYhg0WXiCWBGdUr8wT2bDSNHn+3o229i7OfOg16BdCGia
Tf4BVtgrAiCa7VT5FrU/kgAhIglGY0CelRdltdNeI/ZZYVRHZuYMVsNCP7NrdHaG2W2Hps3w9QJ8
yLJS3We+b595SKgNNyA3i69sChaefE7epevEaJttXmbednKtkkhgNbWrumTdkndudm5SapSiNCEz
hkPxC5uNmA9+ATk3bfGaqaHWX145JsG6KcLxTtk2qghNuO3uz6b2v/v//6T/X3xUKKP+XRr2L/3/
NS9+ULb9U+v/1x/6a+sfun+4dP2kHAIs5JkeohX7Wwij6WA19WgAfdu0F9Dgv7f+9Pf8yeLvw5tJ
s84xscQFOc4fuAKECDDn28vPBf+Vtl+IRfP+DyqvP52viIDR8yPJdv6FBtgp1pijZ7UndzDGDevZ
3ZCoYQfCLLghKkrgIRHDC7uG/b3YwjSTxksyiOyrYKXFSGAEKTeT/VDigdwDe3G6ZyL5CphlYZo9
DCybGTim/oeYma0nVlycB53hCFjI5a2ZpuXJHokqpIBQm0Fl1SVrWsg4VdLUd9wjzcwM0NrHSD7W
8ZzYza5Uugs/FEz04BCQSsoeop14LulRBg+TjQTLr+lrM1xd7tbxSMNdh3ETpD/UYCTvsmMgDsC9
xqhOenHuXQai5Yd4B8nNdFH5LKSeVanTwCFPLsGQ4u+Ctpib+5pckn6VjH3nr/1qytzoMKDi6qCN
g/UxylMlXBGwFrcj3IYbgjtKsqDRCWKRiAo+T46pqZS6xecUmppuWFFpgs20zF8oino9b/MkFVSa
edWLmW0rQX1MV2U3GywCJC0ws0HbKNl8hS5K7SSYW9fasGZw5zXVe1xR5MaNnZBBG5CkPmdfc0Q6
scD7CkFKbFRcpy5ye1fFeztH93nvs94+mrrqHkxC11ekQTsr1sA8lwnyPiaGobCUNPYTtQx1gdOb
6KSIj7hZhRY7hGnTDx9T4VYXsljTy6NUqnsSRUjruKAXc/Z175bHmsX3Pq9UyyqwqqFMqkIeEQmv
fZnku7LEGuKw378yIoNrliDD9lzsgu5A1ZahHzr0cxjdulKXb1FlYDnISVZjCq4a1jTeS16X8c2J
2/5B013ciiZXH1ANEHOHFuo71lk3vg/1blJ1+lr0Y/RASOH0Bn8f9wlcfpYNPmoylIL+fRjm0SsR
4c5hTDzjaozROKzAW9NQ+J1zibyo2BuZkc4by+/y6bVpA0BeJBC/tJ5VPfVssqwVCe0xSfFZ64xr
5srsIOtpno9Vx3hwhVKipAKvhqMe525PIHX8Cs7JOYezz/jYojx4dkMLQgSHcpRtZN4V35Z2qbqA
KAjiTeqq2uZ2jY+O3NaHLp39Y6fFc9b6YAOlu6yJRv9iQUeP2SQQAUBHItVVxrF9tsaxPmCJI10l
m7jWoCi6W1J41SuARjhlkd/81HbyZrWdWhPAEpy40hAOG4gaEy3T3TwV4y0CIHiq3LF7ji1nfpfO
XJaUNKP9K6s782zMlY/lsHX8ky7GcOdmzW/FbP7AHrjdJpAuuYJ+9hSiBH03PVwVcI7TNwdnk1iL
NsjfWuIdMdJwhxEY2O3RFdvb0NfDLm08gLcZTV+QFvusc6ZrFVbipMceSRoKAOzB/KxxtTLWbrOY
MzA2npk+4MYelxx5AkexorK/tZadjQgIFEnB5G2Q1kxbXGsNmwgNEBEK2MrnlF3Hhon6ptenmtXt
xpmE/eoCpL8yEXtJ5+4pawz/axQ1FQzRqGbOogDQJErFOXsGw+GeS2J4LvDtARxmfbSBY3gM3d6/
m3QHgb+W/dNcBEDyOrP+5UkzWDUafQTRqvPPVteIbSx0VRT3AJ5IznZfYnYYayTjtrvSZTthpArj
O5YI8mMQxqaqC3AeeWmuZ1Z28zobuxOjoPgHce/p70KzM8POfWFeo5cabdzQrjvvdrJoYwwcKWDm
9HSxUUTQvXkU6sNgG9xxbgIGox2NHeYUgw2uGRCTylYRb+xghds/w5NUz2aF1jw16fNLjczTTghp
YosI1CyPtYMMKgp+5rqESChTyWouKIipoAKfHgk8DC61qsQPKbr6jHC2A/w6WDznJAq+h9iqyCTB
u0Drol3zzl90HJNFb+rHIbU/tbve4FFgX9inyRFVq0LUNlko7iybLNO0z/mKino9mOOvljPv0SKO
AWxKRPgsMZTrOIv6oyDcYT+07ngxBjtdhyBGfiGhFd+14X6lTWtfLKQ+w3pqSyzJIbixLkMEUxr5
naYEuwudPL9gD/My8mp/JabdrtolQcAdx5fa7J7GdjbXAb03RnO2TClhlruUfcHeTOfw1lpdTXVr
J87a7XV/iI3kvshVvHNlimS56qw38jbcfUabveN+/5XNVfDY2tBOkOHWz7FPFLKVdM2JzRr8RyDX
xZ1AsrUWfaVIxDTjg6FHEIhe6S0oBqu+8c0tyYwI9QN7aMYF47KzshuroOxxg9fYY/DOO5w2tm4q
OucGDleRi/KhjAyxK+ypxofIOt/szXFDJ59ejC72VyTTE6kqR4nUdhw+7K4jyyQgsFT5+efQWz8z
QuvRJ9vzRZFGJFl06wTxRFuuqr5G6FwygJ6csf+2HJVvJQPNpwzR/1a5Gtx/TJ9G6lGwcToDuYGy
+nsMFYAsQqflXaTdVQGJtrbZHKKzdO0yIHIrwYsiz12KkENU+mfHoPuzHbXcxfDMvkq8tNtpBnbF
Y++TEOnfXZ72R/Kl/LVJ07dpBf8tYrC1moTwDqhPGRZlBSvy1LJ39pBal7kxsl9hFpCkXCTGfoCL
tnIJqL9hB3ROdp+lO4hD7ZFwsUVrVIQHx6175ChUXgabyH1uJ+qcljWqg2Js2s1gMYw0p3lAPMHs
3CGx+tcgdLrmvT+jsrHWckq8g1YOUSzibnaRzFaEZhBGENo7tvG/WrO5SQLcV1VaLd66ec8jmv2N
Y7xbKTzSJIErluYzFUZBm5Ob9b3fdDe2/vuwb/cz28WVWaLERjb2GBhDTnzwHO9gNgWrlny8lZdW
NovV5NTPRbyL3OLOKQ3UVf2o94Unw4M7ZcwRcAQYefUwdWmyG0qTIUNtICUrphuB0tYmT9El90NT
g3luqg0ex4CdqbT2lXKQJhi+czWGEQlCaPjPg4uyb86ieo3B43cbecaW/q5cpSQBM0GiMVNRnnAe
OPKmbSv8lZZTSzIPX7+6Nw4eyKmbZ6iAwxgZoRI4bMywkcexJPcwq2JjFadzcCqH6Vak4hNe3st/
91L/Xzwf2zRpcP7fvdT+d80e9Z9aKesvP/N3ng+xI6B5EDQs3dI/blHFH0ukATIJ3/tzlcmC9a9A
swW38bf2yfwD8zjhlnRQJPEE9n+lewpIu/+n7gn5KHtXXszEjoMTyFuWqv/gKA7tugqg6BYHJ4g/
CGse6ZPQdHi++V4Z3lOnjEO1aOiD0npHHmbtpD/temT2LDOCLQpJ++hosrT7RY1fWVocw0Wh300m
s71FtT+osPueyN3ckFSOwnhR9xuLzh97rvlo/Kn9X1wAToFHgS4n3UVGNW5l7D9mi2tAz+kmD4by
XOlU82pykd+2Lbsh297AW+tOGAQITSmvU28LPNi4EzJsCt3iVxBATze1r32GnVo+QycEcLY4HJLF
6+BietCL+wE69JvnliknM84If/FIDItbIlt8E+bioLC8HuH64qpAFrl1sVlI7BZy8V0Q345hBCsG
48psxS5Hb7rFp5Eujo188W44i4ujKVrkVouzo1s8Hnpxe2gXxXmBAWRYnCDu4glJF3cIArEfNmq8
xfJwQnUD8jbF9MFpSdDFUMXUkuFKL46TEuvJwIqYh9E1Wjwp0mjHQ+NQTI5+bT2Gi3dlULhYYBzs
ylDfZmsoH3MIAuwlAnZkGe5gMp5kcQfFLtZbO1AoNqo2f5eob2+Ynt2j0xvD2nEqJIVNrLqnlkXl
E1hTcWYijj7IKEXHfslrUXA06X1XF/qdHhJJNcDyV7jkOQ+uWiKCr3EQJCostz3V8bHFe31jeYhm
pHCY8xW2EofBCZoPP81Q+2S+Kl6rvBJnAUR0T6AotOrqT/WUVWA2ioEZXxDeBxuGTBYfXmjDPU0k
WuzebqpT10dRxoParE6tMTNmbYPKp4stckDkFmlQ9yYuifOEeWxnaz/79G20WpsxiqstW4voNbOR
Q0EALrdjmdZPVk7+luORkOMuahqkg9ln00Soa0KLung5huAHZ8a4ZQEwPkzEg9zLIWeHIGNWMdRw
XD9N9I8zaOpCAUpn07UBIHWiyF8nLAM/O+k7R8MhXXwdwxs7AJfh7yRqfOADNNaYfOBohyYyaXT3
AFMGXhL/+QRampTWBxuy+qtgmZkfBEkACziFGFAmhrzHZRXwCIsLtV4tYKs7E9ehCQpe0ALG1G6B
rVfbSZXTZhxKQjq5//Yp2o0FJ4N6OBrT3luBCy5eG6tK75mmIi5qZ8X23Wl+ixFtbiTr5vrnO8sg
HQVkc1q8fEEk8o3hB5Wm6IS3JnEyuP0Fem4M5TdrcMQR7Jufe2i969qbcJimyy/+p+gXP+zw4rM3
+i4KguOPQvEQ2YA8mrZm2C/cPzf7/POblomBf20GHUIcO5OUczpSngduWF81oFZk3XGGXwSx+ivS
N/tNV4snbChd/9ax0jvWOdkJFvq4TddREtqx9N1Dg6ZiJ6VbnYxy8ZfbEfNvmsrha/CT9L6iWL6S
qzKdW6KVHiPmEI+6NcptwjeSFi4U0Wdo0wZpUSZI9aORF1IB/6I/EQNXxInxVM8QZAhir5/aGGVr
XSx5xcvVYmRQP6Uk2gTrPo+qYW1BtAHgz907+a64WG3vRitQkonCqMTLA4GM134x8q0HB7jCT/cR
YJ9Y2yTMMTGf7/squVft9CCN/lm16B6VqD+rFHdA6U30C3f2IK+mjh+SpRcshuRQZt230OE5dGqc
KKgLK9t/RESyc1SyZ0vwGpMBuBHs/C4eww42xkzZWOfYzVSvA7uqHwfOMbmyHRhVVmp5jyjJXnqL
EBuPYe8mt4KY7WnjrC0fkgylzn060j2PLJ4i4OGVHz1YjPau1mhnO5JCcb7pwEv2Xp1nqyBELTI1
OQJ1PLoHpYpmPRAQnGyMzvqqmGOo1v7dVqo+t0nanLNZAoW2S+sIsuhXZw2His0FxyRqAjpJNH5x
9GHE9ntvBL/YgZZo6Ppyx8hnQNhRAVUq2ZEjQkaSa/9f9s5ry27j6tZPBI0qZFyenffuHMnmDUaT
TQIo5IzC0/8fNiWbbNmkfa5te1iiRDZShVVzzdCYw7py3fIBE0cb5EfNbzmpqiQN0zVEw02xPD0U
qq9Iyk0hVXcU7s7MB05cuZvqnvBv2C3448knV1OKQgA8ppPOj8I3rcPIIrwRfl9tpwJiB90aqL1z
tTPK8qUWPepL7M8vdSq8U8PARwnm0gofwhch83ptQDDh1PHN0tV9lfje18RET2CPtfjkIYDYyDR9
pMegXjU4ypa53i6evv5a9GQt0q3qTvhV2vVqmGfWA2vIDpGaLYiAPijjDFM/CB/qnHxUjdW2KHx9
jTB1xBAv4mCx5kTFQaSYsbom2g1beelegxCmdwyrZotdr7y1ZhyKOc8XJRChoQ5YZlYbuyWAoZVm
9bV1zHQ75+ZR52VKCnD12meluan9NtgQQ/FRhACqomS3D+BlYqrTf8Hm7qWOrb3Qdfg0ygqfMgui
goNWZF3aqHQb23kKNZ6eLtMQbKmIPvqKfbhoLU4qwr8cfcjFFAn+GxH1w70HX/Up1fVSQ5C/gTrT
1aexC0fUHWbo070e1JPyaCXa4IRfW0Chr2gPslNAd2lVRMAl5WBA73btcUfX6TRGucUZrRPXXqjK
O0h2oHxxTWW1GOqPVeNfV0M1fiqEzj5R+VvXLvGVa4cKa9W4oHYZs4iVvEtQ4sSFAxSLdjFYuZOK
LgdkZ/LUmqGcVnE7u9dmUPc7Yh4BU9CBPBOpbdy4kgDr1EJ8wkcsxTpsImM7pKq/9JyG8EhQigjP
VTDTlT2PbIMTzv8lkUknG8001CMCaMO2Dp8DfG/u4eonaju3dQG+HhTGdRf5zpFKId1LUdbbZMqw
swa1IEi1mb4VuWneQAzpnsYmGQ9V7NUf3LorMUfTxQaKLTxhb2w3hl1xQvTmY5pThaHIMU6iZAGr
pFkfSjw/1hVtZXRzOkRDiEF2WGO9jS3XZ68FWW2bcLxJXQMb8rBodnj2N/uag+m6H9NwTc1wNaFw
xgxoHxHlgLx1flFNU1YbVQyIgce6Wc8SHDSJ22yXk+24LpvU3s/lfEW0ud43yANXIFDWDlLKcDun
1Hgp/vTsXLCGNCmrD7VqR7SfqfFidcG1LKr2K4bbFCCu7nZB5Ua7PgMOIv0D+L9JEox+iTPAnMpc
9GD37KDlTeFNyK8WbKgVowPIOpHPOUWbFrtz7VoeOeumXCHWU3vcZvYudN11JgEXhjL6Wk+a1jJb
3kAM63ZIVL+dxDSdFqgBRk4bHsc6vEyi+t4OHWfjhb46wi2bLkKFExAyMSNO5Zbe+32QsrrKC683
3GTxTIwzWe1JJ1OA1q6qN0zhdgSpbUdg+VVgGASTRDTOaQMEpHZAuobDOB0n6t/50qFUSdcqylNn
Syohlu5+ZSKZ6FNyEXFt7/tyA+sQMLLF4l/TLfSB81cuIQzmYQHQ4SXfGQCVu7wIFvp8Pz6E3gxl
Qc+wPJRT7tTg2FeQtD/W9Ni3c+XeJ0FJJu7cdfcxCtBNFjjqpvYq5zOZHXqtzGL+LFvZXY05QaSJ
HL42EWSz0THhMg6DtYHbap9sgMWFBt3eQpo3L0fPre8jSpWtGSJf0Yb3CeJYSARpr17xwdcoyxqw
7CIMT7mRuKtICbyEyREnSTuZ1iFcbbbKKsMbzyZjzA8eAwAC7HcJ0bIotKFYv3km/X+7zptrV5KF
U9pf4sxs0TclwUlH9KOIll+K/gg6+meB8OKNljDxtWMBeZO2/8FyE4TSKngQGBSKVU0tY6A77tLj
PId+S5Fg60sbJfMdKQvzhww+zFUb5184gEb5tjTrHkJ4t/Ddi7DcJEX8BTdmdn2jzt+8wV3WrLDr
dj2RF7tGiuaF8sXdmtBD7zsAYIK+5b2VKOfGUpher6QJiiTsoN5gbs9M64vx2e3BtOrKKi7nbPAx
79Md0F1Rg0HPvhV/hn0goKypZNrlMmYrEEGDeo+jYUkdkAX+mx8JFo4hcuQ9iJL/ocMX6wW8pvg8
xwhakTpZtsGST0LGuqdX9Fgs0mhnEUmHi1y6ZWHc+nI+JouUulpE1cTxptdJhNBaLpJr96y+dsj9
RqCnxhLJSMkQiihK1FmpXSyibQQQi4CbjIyznpvqeZF3T9/F3jBY4SPW7fAtXsTg3iILbxBhHiaU
4ukiGW8X8TgKpcu0AQWqosa/d3Mx3EYxYnNrkZ2niwB9XqTozkKWaxZ5ulqE6tzYEwc/wPmAPpFB
KMMxOyvb/4f6/Ceoj4WFMrjIv0d9Hr8WyPnbr19/Ys9//1N/4T4SijzM9AXy8fhhf7bPA9Ac/PHo
NLOFWouZ8T8xH/cP15dIZ0CE8HWVi1vdXxiQ/QcOdrgVYpDoYGVH0/0dU/5XzHnbe2eUgokyFotg
UpiDgUBhDf0zCOTphkDi0SmOBtwYVneklJEatqExjqhyciw+V9JlMbrsTK3XeUvXRraTtfei0DvU
uY3A2AlpC9K7JtEFks3jlIp0i3Meu3oEy2k9NtY2h8r8kTxHHPG15VivcOvk0axEtu4DsiPqOIL6
RlREX1TdkYkQ7R0qtI1LNU9SRRqvZ0hSez2ws1CM2SVnqwk9X1znMId9dFpKlx9tOpqvRdPmR7Jr
5h3a9V3fet5GdMAag0qiG4kE+VDoJHukT0GPZWhtUqSxKC4/ooKs90AA84mkjgC/dRqen0Pfq6Db
5wA4qxzO9FUJqespVZ1/OalZ3PdjY26KzLvjrBtcCQWA7+dR9Im4ZPpMFKCH2SO7JE1qQpQRDe8b
LywOY4JpJu2/u7Iq6X8WZrFzDcJe5n6Q7PwEWRQoB8opvTX80KBFa6YcaUd/m0HpXvVp7TzAbsbK
orbFWsy2fRmoqT327WwcQhwgT3YaG6esRROcmjUrMfnQtFehz9Zu7MXbGo0y6yegmEwq+PawKy6j
MHf2diXznVlbDj+1ne+qwWyvvMQIkU6Yj+6UT1902rvgN3QmQy9t72bM5VajdlEJ4Kq6oUVJMwz4
5nNP/kBV6E8iT9q9rCx1QBtq7i1ODs+Dn7BTq9B9Iy8v1Ve9NtUVUi6OnH41xesJBGKLWcmwgaDl
k5zTNLvaNZONFrRSUVFC2EKYgZiigSvaFOO3aNTBbhYF1NMas4kt88a+s/XYZpdaVU9A8eoJ2Zl+
NVyJ/rWYHXFllOlwgQ4V8lYu+MhJgKN3FbExupT3GyIZ4IkKt7jBi6G8IkH5KaYF21G22fXB78v0
bipr4goKa7gxwd4v7Dpx4VJlNkLRRBq5d+gNqLQ7rHbgDge9DdSGQcJ4opbfqcIcgtU8NdYutit/
bcoazmhdmvlB91AZC7AD6H52L4o1LhwEXcIhMQkdJ4KslaCVkznnt4bhHAKnhnrcF/VV45qv6IK9
8LK2sim+oA/2wU0a7z6nORMaqFqObdLbobnPOvyA2XBQQQRfKAPqZBuFer6Zh6m9bXuY57i7WuF8
aRc9tI2uf3KgFdwSpxBzqMtS7xGVitoSZiS3UVYEp7H0zHwVoLbVmyp2OXXCWVTErGPNc6igHTZP
JlY26QRWkBZdvCnIMvBOUEX81tjkaHXFDQsl7z0fqhlJgFo4hGUUipc5rmGtisqIrmvt5d4Hkk7N
uoFqqOUdJqJ9+IbEtl07NCFXrHCrWNqGvRU94IkROrBJAngrqwC5CaqdYck3F12gPnvkKBkHvxgE
JCFAS2NV+n2PrpFsDGqOKe7tK45swXOuK+c1xYWMkSK0jI4y7mgSF7D9bovOs99g7XfpHsr6UB08
XXuIPQzOkSv6vyGZRk7KJWkv0RLOJ7A7TKXKnACbxS5KjJhssPZxxe8RduhwcpLbo0TR5setpLzx
fG2W7lr3nG67i5QDldiUnCxXkTd50ZbOlnszLQICxx75JRIPtWoc3vHaxajiMRt986JxjYWRR0Oe
1jpA8F7hPH+FLQiQQwKNFeupENUKMqm12ROF0Usz3uMw5O/LuElvCzO7BFiTKBikU15OsRNfhFXl
7cqxs2N0fb7HpBpoMSM+AYTtlGsuOR57xyjwuPI7xfoVucm2ifCU3wkvEQ/ILdTWNdtZrq0RxqJr
FMW1F/flvT947jV48vDiYI6iwY6CC+hS1iqrG3ptkx3tu6ablwK2z8Qqb2f9pdb1Z/YoamXLhmvv
haCNQwIfwRS1eMAHLNxNgHNPjh21dzbtejaHIjtmkdfeYHliQDBF1DMUIvwyk7pwq0Myrjw3gkWk
wgOCYvEx9WSyafPAfxngEpQIVs3qoJx6ukByP1/ZDvyDqJ5w6Bi1+hTDpjs5dTlc29G064wCxAaq
qVp3OMRXKzVY9hb3nvkWl0O1jdNg32ZLjphXdniHD4BlTTHvyVZx6pWSIwF+gCPrMcMQwrM5w2ya
yfQvEoslPsDcf1PhxLwauf7DhIP7ylxcyCJct28rHY3rYY7TLe5F0d7lARYvhIHktNGOWRpn+6Nl
1eQCDk5QvQ6+2V1Jb5Zfh94sdw4W4dtUhvLgtrX1YRHFw3Uvow0s7GiHphzNTNFl1ylSoueeeXjV
I6y/hcgXXNLBKtagYeqSzlKyr60Y89wS7bdjZu4hm4dPoN/JJdYE8Yew7MV1GMqAH9K6VAL5DHXC
B6Moc0tctxNWJuuEmX/roD/fY+HevPpesa5bLFFoxHR3TetgxGTnvnvMgza4S914vpAqLT+PbVSv
qiknx06X4gj9/EPYQD5GuSMoHpCUGSTebIn1bHwo9cbHqQjF1oaMRtxVIi4so03wM2giwnwMC5hK
xrZaTbJ7MsyedE6i2Np2ZXvTNqANvmqHyQ3WNYaW6znwl8TGyCTii9xC7I0EcB8oPfPeny2irfsG
1RoScOfVXGJAJxsYcYUdAFBz05Cnwaxydew9WI3yI7a8KE+i+LF1dZXc/a++/4/qe8e3qbv/fX3/
4bWNKTURVv5U4H//Y38W+FK6fwTwc1xs+APLcWz8Fv/iyJK54lkuLqYQ2v5R39sB9FgTrhp2j7j2
o0L/R31vO39AtZQWgjLCwW1iHf6b+p5L/ECQtX1cFv3vulxOE0vT+efqHtiqBu3v3bt84JC/LpKp
v4NECjkdqKv99MOL+VOW+6MMd/lh/2Tjni8GFTfwBJ1sl8d957kYOZON4L2zyVLDhKawS/NR0wJ+
/h7+iFS5eomIWHkNBvW7COx/eWlLkOzlu3TQl/PSj63sxEglMczSvju7LBQBrMctTVQmpde77Ln+
xPbdimZxVCBa6nex5MuP//nJIZ6aoMQBUfIc6t5d3rSSqAhUZt1lsKkSkrcG0jVF18/VCaMiLjfl
TO9fv+13oRXL6+aiDBWb2uNsGvvzMxO9F/YRVJk7BynBIyoM64hqd0YbwJHvueocnLySRf7fyx4L
objruzcXwcE+g6ZlrWsXg6XKi6C6tdCewu0MIvSKbTa8uNAZhLwYFgHgJqG/TAg2R4N4MxG8aH3X
5v8k5v5x1PzsRfr9MUAsoR2ZDtX3e7N4f8THbfJi8072BmOlz2zwQjDBnd9O8vHsMDKlv7WQ/Zn7
8OdVA6YHEjgu/N6MFIDYU5PTyDv6CfKxwGFiT+UWfxNqqu80VhH3DqehaxhTmPHpuE/2v/56f5+Y
Hnz1JZNGBIyb93NlCIIlUmVCemu4BIsvE0YH+E5FQy2vf30pyWLyfnTC3Wdm+Ut279+SfkLtdYUQ
vbyzcc24N6qY3iO8LzaZcMmYnlLbfh2Eu8xOgVFG5Y1MlnPAs+Ig+ZvP/a8e3ALUsBw0Bchy3i0S
pm2UQY0G667vaiaJDQG5vDQBGoZVUqTB/8ckWYAX5iX/9Zz3MSSyUpg8WYNJgcBeXegYoxdKsvKi
90R5kUNyPVoDyfV1nTDKg2yW1/kQEJiulcQMTqq5vDDcYbqPMADB3BNX8ssuHYKtBDm8jeMBbgZ8
emaZgxRhPAWx6LPdbz7gv1heUFh4YDRsFfjZvjPeVlkU9r4O5B2UBsxsMR1oIBczbs69+qbBPinz
R5ZczQvMffrecMAIdG+JED1UOud4kaQ2CdvzOGPmIkNc5/yGHvOv7/Nf3SbNTjhONjdLtNTPC5Ix
mf0A5VLe4RvDCzm/ZiRQ1YsUoUQF3PxuZC876E8jG2N0RjV7LhAZSNT7K+Yd8cci1e3duAS9Ox0J
3mEwLf9noZY7c29J4oO5QKp6SO9xUHRnIQkH+IEuxzKr0N2bVcKwUIIVgIBYXNVw+7u0lzFxfkUt
uwYJVQmxZkQLQxiR1mKEmdhH0+OBiC0tL379GnmC94/Fk/CdLUauiYRm0dX8uJvNfhp4NV66dyWb
0BqlAqJE5RnAzlam6VoPMcI3CDLkP5qOkUGYGODt74KYc+Mq42cLwr+RvJvKJHIy77zdMEdGd4gx
5JPrQkYE3HA2DueNsGBgE5k6Gk+VQXMO1/iybDhJ6NhZ0xknkVuYgplBi6ffsgVgrJuqhRTsV8Ud
SoD4wm9zdQlJtbweVOgBgMHRpHeFS91HiYbuRpY6+yLAFjcZIdA4H6InqLi/IX7TDrHxsMliAvY6
9u+TCJwcFaSlqlus/jgmTzFkasyoW7rbHkaLUHA9o3rui0wRahR63kMQ1DHdDUTJ7oqefE1EtRM1
8GTcQOOs15n+59rIaHwi1O9SghJnvNNrOB3N0ax1YhxDX9qX0D0ghWFUhyg2CB5INSaQwaOp1dwZ
I+5AK+glhcN5wwSLzOOoqm69iCz6NcetONz4agyeMTpg200ZI57umXJuqYNtncccyykNgq1HP4G7
Kx3ntcVkN1mjDYbTZC8L8VAxm1scpyL0mS3GTKFFiLAP/ZaDIy4c3qWPoW7PzixjspvWc9ELrzpZ
kVD6CvfB+tKY8C3ZRbrMMRqqkgmFaJTA90iD7otfpG7JeZAscZGoBjF3Hl03pt3smiCh41tWL6MQ
80fZ+snJHJCfYIRuftb0SsBVsAryAjPcmTjVfuJw5XzkFO/QzqziNwbK9DXqQ4XfUBwVG9HzedYx
juJ7DlDOJodyDh0hygUC77CYJh97XBRBBAi82bVw15OTRNWj4fhJejFg/5vCBiqyIH/0iMIUAQMg
06W3yb3F42zVaVzzXVruThCa/FWaI5ZKa2SaeCqhUDKwoNxgiBtUH414cC1uN1VFs9FYsfo7QyzF
DzqU+zJNedPI5ssLEcG3YLU3YGL5o2dt22yEPZCTY/o0GS1f7ByknmuNHdXg4fi5CkrWikQzKpEx
EY2GW0LNzwAgqV4C4D5sr+XCFkoUvUchGh+jUFydFlIAnz4dqhd43NFdjwS8W8/atV9DZxzh7Qrq
VYQrrEb56LxOJKQ8jyZUunaGiOf2LguPzTrk2TkcoSauMW5jhvro1yx+PFwFbo4TR3lBWRc+93Sk
NykUigvoFeZjLZzlN5VZcNl1IFScVL0QqrYdEBAkYdlgBIFDVgvuROEDsZV/MHspVDt8Ru3XxmSn
XkEF53c0ePteAzmyxMC98i+jGtuuwCune1imbOqJwYp6XiOp4fzL0GET9RQUHdimLar+5VUugNxj
2/b87flucQQBELOQL9yWlJ3mqncSfVufa5E0w8X9pshTOHHRIK/7mWj7Ac/IC22OsOEkroGmqfR9
n3DcsBbPYaAjtuduwnhTL9WjNnn3Mtc8FFOSK6UxtqdJyWBQy98Nja5aGrVUnyIdnNezuCNYyqMq
Y7fFiaB+QZdA9QsTTt+fC4U5rQt9onntfj++qzbj09bcDOCMwtk783gXBIkcQYrFNVAdrcgyBM9o
cP+7ZBjx7c4OyUVZs/G0JdYOIXcklKAIL0sU6Y5MqxcYmuzmOjWNZhuSifLqtvPi80ULujzWbcOd
D/wZLDzLUU+XtdFgwnUucLCBD3AkV9jJnQ8/1lL6ICdW+SZzIE2sbQMfXfhT7gJ3OhqGZu7Yr7Fn
NdmebYcbrExaHaslTFhtq1yGnzMDw5FVcZ5CMnTUtBsm2pn0QYToNs1459tj+5YFLd+oQhhjdvwy
iCQbcGFD5tyUy1EljbHhlBohDMuAdaTNOl7DxfGOPE55YQ0GvXvd47lgxBl3O/QJbmEjO263DE90
5vJaRIqdKSWfsNmqwZuQYCiEydWI9uSQxyFnQAnbByQppp289fnPpRk6DODOTnlnnfRhqA5kJKkU
meS2Q9K5tCgYI1mcOa/ogHinU5Xz/OdFIM1obuPMyFvJAE4vXe1YmGIwwyp3uXw+dv4aZwbKsU5W
L0pCMMVuB2oauxQ2UBZfNTFbnAvZyHkPIyVogEP5s4H1+u2kI/e18Tvmq8hyOmrJDCE1cpjxTdNy
J+eRaE9EUlyMCUuAIwHDtphCsPjYhCZCT5hCczz65fKBVG2zNJllWB/yBmSNjvQUrDqOo+12dlF/
0slGXQXvOcoftFDOK86f8tE0fM4AgeIYAktTPo6oVKBdm1oOK9Z5TId0ElQvblQx0Ws54hi5PCE7
ETVyu5gUNMTe7s8H3nk06MYj3H1E32k+JizdYjVypH3s8YN4LGlxWt/psrO/kGLPFeN520TLwoiq
MsNajP159tmpgsvC9PHi7s180+DRe39+a7jLwhhUo8zmTbPcTuzyFPgo2K9V3zFfizgKLrMUR1Yx
a9ITPGu26AtmWGk7QHdvNeqNZG3aPqtj3DboNmOGPH2PhRAaJ6Fr4XPt1QedOFm+dYI+c+6nBtnp
uqCjMa+NRjivOIQwavjdwXOxgPxZ1tvHtC6NckvPdcxO+eDyp7M+NusHKcyRIQJ9K1/PIUsZDJ1l
7YPjaOzLSLLIU4pEy5HcxiR4DfhZXpxfwPe1aDm4D8pkXVgW1iby2HHOYzeMJra1qcMRYfIS/blh
G7o7j08bytJeAQTsh6K20yuv9xkivuibg+1gBRJDIwEtPw8IqDb+t8rDwXCdN0NzwGEUkdzSBYlc
sJTzqHBJA4f4BN/s2sWcci/rQl4rZ0Eb4H8mJZSLQsILcwpWIpxgjDVUbUCIxkHVidaFBzLGnNGX
NFgYNuiiiPmhEMK7l8Dja7yHmwNDTj46sUt8pczwx157Yc0OQziRtSsrONa9KlntrUTeIA+f7zip
M6gFkjlSHUcW7fMKaKcdIrEy9HjZWKYt2zf9CJq+3si0WTYgrOIjC8J9NXQsCsRzD+EO82CMkot+
uVvVd0wzq9ZcN6o0zFzMSnF34Kj2HEyaws+JeG5iKHDlGU2k6BtlN5NcNdRC88Mg/WQ6dP1QxDdw
Lmk3FSyj1w2+LxGHxoW1HCUlo13IcG4eOwcW+DYy0uD53B0q6LzxvBit3CIS8B5w6sxvgPy/xEZo
rNNAtThW1bTFMXK9GNNIfYvIgUcoTcsZClCRrofSYgJPbI8A9uxISwTBGiVBF1ChaPc5VZr3nFR8
0NIZ5wkhvCIUAFrnQEejJMl2mPIjWL+6suxWyjW7Zn7kZD8dCkmTd51VVXEVllb5LZgWar5rTiyG
FJnYz7Zmh7XT1HbiVC+L/0kRoTSvIWRz0CZBhBNMRifGKE1QGACvnoTVcDQeImXyeRryQUCq8JhD
SeFgKQ4COK58a2TBQbyIXn2gxsmXkq6OfRjuuPgSnVwb6x79KX4djII0Y5UdrYCpGsQ1Ik/RcHs4
9wE2mSX1gR2O3Ol03kxCujMvs5OU6deSGpPdJaiCrVr2cEkr6Dn0Q0bQ+WAYCTTrJ6ha1aLiZ00r
3YmwHvC05uDFZXCZBNDK4Z7L62hygmeJK+ebOWt/41roHziD8V0L12T/bBSbW59HrFazix/swJWh
IbJEkoG1OMeyYWJggl8mKggW9SrEaztv/CTfhBXw1TjZ1cvZGrvsWPeaminUZbQWk9BIT0aJ3D1a
VuZ5RuGOCCaOD6aDpNYeXNFeOFXPjOuWVriT1sElASlLhVGDkSzmtXla+PaRkHnhHTmwTd2h5Xyz
olna7Muu7Xf4epo+Z5XOeRWIIB4JqCwveGJWJXAeXomnDLaNMDQ5SeQuG4s7aJd8COFuZthVxwpr
1etmjpbl4FwyY1DzzY1MlMMBTZodGR3ojWBPmjuuHD/ShJ6ephhKYWzr5KnqEdy3zBBWZ047844N
kQRPDwYVMky7Mm4bwy2h3RE46G+txkLbGznGl76ynDcV9PPXjKryW5lNLeX2iEkadRVy8wq1kqQo
22eAKx+h6bjNpg/DjD59Xah6S3RFfXKsCdMrD8lxpNzkQ1510QO+shgE9DnN8LR1xF77jr4OrCp8
ig0v/UIuBD/Jwbe1pVJGKXSLBTUn1gxjcbn2OtHQwQ0G9+UMK/zPA+U3Hih0fE2Qqn/f4XnqXuOf
ejvf/8BfvR1BrwZwyQcnlpigLFlZf/V2pP2HcIWJUBPiItx3oO0/RXu2+YfANEUCOf6js3P2RFnA
lwX59M79oP+CuXUGgf7Zc+COWEGtBS+np42B6vuoeE7tGENoX18FxWzM6RoAUOtd7oJEYJdGgT1h
VgA1MqouWge1jtSasgyOyu15JaFiLy/MquSw2fccJxNJtUMgxG1ObxeSDNMhCX3Y96Poh/mQ5y7r
5L3h4TxcQ9oa/MB+isMpwC2sz6HxutE41PFKZKFxE+T2kJ/KRjUtIBRKbf+bVXk66Q+j64hpOEYe
2iCyhhAPK/QRfj08sI4J+8EoYJJsKzs27W2kxoYerufY1o1PMYY8IRhoa1cCRm1u0tXFfll3901u
c9oZs4RIAgiqNbWAtR4LN3yEcx4/zl1pHXiocpPNvfEZ58Lk0WeDRv2fxwoWj3PdcX45supHu7gM
+1cA+4SdK4fbRNIWp3mIXeuA4KoM+0B8tM3ipFA6EHOA2xjOEduRc0J9YXoz+RdrVfjTdRylg3FE
TTSyBqRGpB8MLftZbESUqkVpXDmmt8cwLqYiC0XZ1QcpolAuneZ0oDFwj6I5aa6qCRNPvkLumGY+
HP+3IvwnPV8GEtD0v18Q/l8GCvP645Lw/U/8tSKYwR9UIr5LQ4FOhrtQJr+vCNIz/7BB6QUeOaRk
AzH+Y0Hw5B/gxvx20F6H3scPjE6Hf+XQMvXZ8MH4WWL+m47v0jr+ERPndqiQsa10JSuSgCr6M3iM
ha7OMeO2v8a41CsEdnNoiQ1sTqPuNl2nTP1MQyHpdq22spwKGEeALySaV8WlRHpQm7vKWFzEU2iC
UK6LIMRebuVnsDieGpEbSlOvV+7srjC/iwZ0idZQ49htZb2erQ1nmRahh+dVHlbH8LZGHJeWE3rG
IYcWjK2DBGeJuYfNsYfoiSkE3ovKCRrEIhOEx10xqBYNiG5jHHN+032SSw/in6sm0mkSkUwJeild
1g3z/dspW1dStMzO16odB6qSPPJi5FzQ9a30ijwShCz4ySZF/q12m0Q/2ksztVmbcd/wPIico+np
h7F1+/3aP/Y/zb/dEvohKJa24zu4ZAfvvas9ZU552TbRm8QnNb2q7CRKT7Pd16CVMcILJLK5lwC5
gVlVfg/+PoEyr5SoyvS1nFqN5NXrCYI4ZWJoyYwg3XHuNzNKQPRuHTYB83PcuCHSVBfIyr2esVfh
t5HJ00IvElHbIyn+9UMtHYofXrMneMmOzdGWzS5w/5YYj5n7RE8+K74K8kDdB6dIjPI+x/l0vv31
hd71cbkQnmQQKVxn6aZyvZ9Hu87yOpiJAX1DT4VmaltxrLYxARHM8MnylH0zoni14pV2nQwlM27+
3nCfJk7xu7jad72o5U5gHi6dKGTg6OrfNW0IIdYimJT7NrR+4147lVYd9pa5QRP0BDIyO+5/+5Id
Cyf0hUIuhcdbePfshsRaosw860vW14tittYVJG5ERDhnjb+51rveHk/HwmXjAMeAh3XumT+/ZxO6
XFoljvk2yQhD76/mkm0QH8MK+d4JR+nlFWfaXUqJX3/gv40kRIW4AfA/su1ZdJde2Q8mBeCQbcMp
qP0yIYL0OY17mT/ch6aR8HZ/fal38bfYMliweHDMd+kTs3i/byeqspTpSIDIW5uhePMOSRAWTxnu
KDWmKEDqUXUzBXMo8ssygUImts4Qp/Ozar2qslZ5xoLI8VKFeXCHQSUx7ut4WMiT2OA0vsat1rYR
gP/6pv/2YRxfYsrnEeaKUOBvZaBEsGhOpii+0MpsuAuYL6n6Nkht0Kcpc7e0NmE+cC783cv6+4cJ
+Cqm68O6hvvyftkKDcK3qsYxPmM4KU0O1ygm+3bt+VXciLW0UCtlB6ZJ6r3SdQd33tRN0wSktNAo
Hh5JWBobfOV9GnKfUQOoYGdxGiYkFXgFiPQ3b8l/Pz25QQ/SHdMkWKQW77+tE41Vk/dN+Tn2E7oU
eB/obr5t3alhUM0atdqAaUzVuteGFSbMprawbTaDguhYFssgtSP9hQGYq29uK3gzbH/Af+TFSXJQ
v31fgO2wYnVBNxm5H9soIGtn8dtNGaloiFu+TtHAbO0ITJHYSa2AaZcl2mhjKnnc6ycsEXBR6KYX
IjYpIVaktoS8C+x+LRZ5WtRurXamXTvM7zoek+m2cm1FSOxIPS1X+Mm28y3TP3A+YpnD0GzmUnGP
0CACqNwSdu7HtC0rVWx7d8rm57mzvOFxaGp3uG8V/2RcwdhkBVm8dUq+mUlkDJemwZSk6OWsymCi
Ix8DgIMOrVQc7WjfuoWzQhVg8jtdCnt+S+J6bY7pBXHa3V03ejmbma4nxRLc4gxKXKWKAi5tJNge
xavZGperUShX7jVYTVK/1H7iDIfQHurkKrNBo/YjwpPiIq4N3Z9wZ5oYS5NPWBB2ytBZ9IU/tDGb
pUAjx19qP4SXfyAercNlubSLKk0Pfz6AgxybRy08QfjCRoiQ0OqVIwqGXztFyyKW5R62iNu6xaAH
33kPFgUGwxV+9H/9jBqrx2ZrJSQQxmjd/XKcVhY2k7yD3sIsEQy2gj580lbJM0Xf3yoiAKgKwH7Y
GS/9DCxZTwXWuWROyjhYroiTGVWbrsCdQYG1V/N4LPTLcCmDjl3LSklRarfoJ1R+X3ROiSm5shZS
GpCkwgZ8NRRBwKiJTNpMem1Ngh8IMUiG3q6LutS3ToY9JbCm82ngHZbTAJQGLReGRfjg46S0+E6D
EGfjMXSLARwnmoELfbTXE7LPjcZJcHkIhZh1uqqtcMCWpDTQpMXgjgOrwLaZ6eAsKsJwGb8NbT1+
FflWbQ0nfBtsfgpJczZTAazR51ek0YE408EvO25J8/T8w7FXy73Y/8feeWzHjaRZ+F1mjzrwZjGb
9PSeMhscSpTgXUTAPv18QaqmxVQ3eWrfi+lpdakykUAg4jf3/26UkuSvfSwl5+/QpQtWirP4vnsY
fOZsQfRXWajjNmxAi+xSIgfyPjPpwB/WkTMHXFYONpDf2A0Vd5AhjJ7buYR0LMkKCQHdQ64mUElQ
RXy9RHVoPdy3Yc1/dlZY8gIHOS2TS0JH6nJbd8x4z2cxL3rzSGmSPkFMFPqVBjjBh8LnQsFNg4G4
kTJ4aznDfcBoK3chbYJWzodhwsqpusAgzuIDOwGokZofsZhe1U6WCbXBsHOxvMMUlvA1Nrl5H6Ve
BmnUCt1A70xpiVx455sA/YGVt85OFXPiYheSLnSXkgFDz2tvnieWfyixfXe3kPhKpq27eWx8LCm9
AYpxairqx9jd50521Vj0MOSKWF0/YUY7mbnZQXKVZLOZNFHjrciVFfPOUymlMZ4VsYTwwNiR5Nl0
LqM93lMtIdJjTBTnc9LcRRX+JzUE0iZiPsc3M3xNtmzEbDdb5ST5TEWy7ZsoQqfoh0C06eyDnoid
vPegQJL5A/P7vjAkQFuEzXbmNzPvxPR5SiN6StPkvGgY8QlI4yOpF0+W6y0lUOPctbtijvW6NPtJ
soYYm+yK5KzRwth219lDL9DweA5bJYPs3KVNBXqQlsBEH6HvLuXo22y5ed31PKUavQ5nQTNXMC3X
yNj0Lthz81m5OGPFatiZCpCzsyWF6fhnSsR6XyrMoZpu6DvoiDB1+4TtqXVxHhzPVGqwOwzcRd4F
y1aSBTV0DIc1Jzz9bvbOQtqC7iEs5cKFM4PU89WuRZEbGgQj1pz1cxtwylcxhVwJ8aTUh6xSfcdy
nHxq2TRfQjGzP2BOYrhXkzkLatZsUR6Ekw5tYLpFtIPsB+SCDrFMYyzm71WIKy1Utpc8hF1f35yx
6Zwm2hcA1OhNJ2kOu+BEezyIdhWGTrLBqLaOt64JXPyObg0/Pms4/OcXMS5XHOQjXKMdIpWAFzun
IsLiwQRQ38Ffy7rKmK9mk3Ebh4W7ZJMOnP0GfUu7lkbIoWUxrME9dgIRCYwO5zIxeT8NkOlq7YZQ
7iwASYgxLm1kuZBEokIoxugWa/a/0sYuxZ1ZTeV9ZNvY5SK07zKcbet2oHPRDH37nbpQZ9BXqwz3
IuZKnXVTt1n3NWPPXfD5glP57OblIpis8ivxNC6ARq/gzzKOMholvS0qy2OLDwGdM+QpnUvfpN+N
oxcOl6KjatasKE5X1jld4KzYxqEarHXHMwJl30zgwMF71oNwgUxMBcxyQBxinOmPBjOM81UrjFl9
icBmund+iSYmwYaD4Srt3WPPGJ62yE0s7KTnOFEnKuUkK9fBAmQLm52sXEyxi+2F8t/EywG9UAGA
hCrU7rCLS5yNR4C23NOASRsOPl8Fp3JmKG3luMq21rPFDgdwL1HAOGjbBDm0hgD3nMQrkwPNObXB
/3ZczmII5ubeGq3U3sUtRilqpYJygRkeO55x3YK+dR8AxGOetzepDrbdNoJ7M91PanLUhSFVbdwy
yiWXR0UHAmSS8H3BiAy9ZKgRyg9Euw8nD9HKyhxQMGyozZXFPs4gagHFcsOqWUVF49jpOhCL7MJv
FhD++hkOM4q/TeGrufsR0bTEkbUPGMVc2Y70FM6Ucd15DHYUplf6+xhJt3+JuMcoiv3gt4S16Y+U
uT8VWesGWycboIqnZsx5fEc5zKkJmx+TA216ib5NfGJ965Yue4PyYMT3mmOprRwsdx7G2Wtbd9PG
o4hRb5hUB4sDUHyPaCxmpqbdiWnWsSYNgpwIit7FoI+ViI2El7uDlMxZywHO6wDuWe9wlWfqCBNF
cczUUz6X+CjqH9aO4dnC2DohKWOzA0ePl4L3oSRUe4m97Ocg4DN3vdfo6I8Whs4cgtxauNqZcm4Z
7fuuyvzPXi1rLsVq6WVEe2SF1BpaHKzZJj0piey1eURr7yHOEQWPJrGbgU0S1WkshkJs5cYzhotj
QEtORXdkC5PZX5wDcLySkKi2ybONE2CIJj+UuARJB+AcrITYECH8c0YjGHcJTVBxKm5QWwf65AwZ
x+NKRZIGfHfPTFZD69X10P6tGzShfJgJkpp3SeI9wvXLKNf7ZOEGJX/Fzq2IKwLTKi3xFIlIx6tR
PLDbAEUS/rdxBP9MZzMP6vOkwXkCM8C21bFU3QY6ZAGcoe8RcyS+sn4ydIEWdzOW1gC0jvOQugEq
m3ji3kYmXfDqgj181iHSS7nHp9rMKfXrBHOthvtYNKauWPjRqK/ecmDjGfiUMsfV7Gc4m9T2UMwT
uIacK1xBL+F2FIe/7wRm1nCA+9ZZiEiRtvOJTaV87NAKq55hfRMQ6aXIWBXLzaum2PuMRJfa0+tj
5MC0rEfSv17dh12MqmHn5LXFM+pRjlnisqbGDfcUMyozhmmO/2FeHFL4JtV44hKODveUynUUay1w
0qatgOQM3bY1MdCyOCjpreOZa886kQ/9jsVSUa+z4E6PpgjUxqU9S+BsxzqaH5pWCO9gtokcwutF
pXaTnfsx/k7iMC/4o8mt4wiTnzoUBJn3JZPdvCK4E+mCF+06/kI8uDpQs0pS46wDWYG1dNxnnQ0h
JiiJs5PX0zUdgI3TQsYulRfKcVqiQFjpOt5Uvl6PcZljU76GukaqTSe55g/87/pvE5WI5Xosw4Dj
0kq5LnudpoEODcGvJTqYd1p9ta+vR6E8nkuJkyMPVUg2vurcgbiUfB3CMaErTC+pgIZXQeJlmWYz
MQH4GuHqtVvWQMcvqtFKmCJLSpw6+lM+oHIIasdm5tn2xlDxXbCY+AlmO2S6WAEIIN9EiMeG2ySI
MvE0iD7D+EwWfavYXAArOufuaCnIfbFns85opOokMG89MjbTAmvBa+RGhJcknjxnNXvLfOagVZzP
/CCap2E/2U5XPA2pNXFTsJzVkY9MzIFYQzah4NcC+ioIDH5lxOGC2/Kwm5KELs+2TjqHP8EEpnCM
YNSYvjtD3y3XpgECYI3aMSUdGVKRgEQN/dbp7/2ldIDkGaPF/TfwY9Ixux/qKAwthk7yg0joQD4B
WD7cxzJOeGqqoqDbbCYc6CKwc4NXE6NEXrM8ctf1jrtYHTnvSRfgcC51/sBy8nHx5IMEFCo+FiXK
4B/awJtUih/TxNI/WKEFwGYuQuKo11cPupAOrUqjoqWNVLMpJYTcYZB6YdSjrh8ZsTPrJRmY4Vhf
mWCX644bsuiM2wMQw40cLWxEETE7Y9Je+H7hagE6NJ59nNZMdiFAWORJ2E9WeQilTU7BwWa4xAfO
pOCj73x0h3xM5CrBXpV3tY5EmR5iF6dj9pI1oiDCReCkwxaOTYqAv/fXksqVXW6jZNBZ4GtiUcaL
vuhmmTR2jrdspn2vwoWM1x3CnIVOkmSy+se0rnmkmQUwvzj0DEmAl6HvBTxmy0CpFiO1FEf4i8vM
iprtQm9YisdowAIoJBblTAdncqEzkEKXenKaSWfo8+vOAQdCB7qVVehV+X7V6N/UjBiZYaKLhk7A
oNVRgRVkALI0zFG+TbHSeeaQGmXqbQwm5stoJZl15ZG+/5XHVTXKVMwzeAw1uJYdEji9LXfObV2H
pvLVN88fdffmdWngkKgru//0q+hPE+M6umFEa+qosmqjYl8GqhPfMjfW+xMudg6C6InNmr3r/e96
qQb+3hCwKB0HDP0w0whn5I+ulDRxt8QvwPk2ORXi+LM+1R7Ua48Bcl5D/IwhJiBLbNg0elSikiLK
UHZhuW6VTd5NFUJ3NiJSXr33vO7Mv3oftUh0ilAHnuRMgM008qf3L/+PpwJ8i+EbGr8O6ThMlrdP
ZRJ4RiZj4D0Byp64Dg4onRZyuJJCvf9Vf6w58L9QXZBNR9RVw+N6N2EULsQEUE9RymDcfIhnhgse
rSXQr4gfJ0wOf/DjjlsoFg8GCI3NBB4VdrQ6b3+c6CT8X+r3T7Td9R6lUDgv1zDu9QFho+6cN3FE
vE8wMfPnH6UdmOKK3a7yXhvS/3EU8Pg20zX10FLoriqvG2Nxb68ET85pwHPe+UpNgtQRnRJVKrCt
Op3/Z3fZ9vA9ohFrBnwbxbGjJmlBYBg6YCi/giAMigvVlvqAyuAicMij0eSsff8Lj6YcA5sRQ8rO
NHk9OnyUj97+NJWHC5vJLL4KUK2sIAFeg22OTRF0MSS+rkQwmGZos6I1IC/0mB/1Uf64uT6LWA8c
Yy0X8NPtt1dAlqjpbUH9lXmZGcgtvawFx66uTqN8/xq2DCLVoTETy3r//lUUN4AAkF4A3cd69mR8
vTlVDh6eepVnzLzFDVIVsgW8IGqOBFmMr5BWZYTjCtdvxW4djJ4+LDHFAVG3SWNTkyMcdidiERX0
FI+sUUwjGIKCEt02JJi31UlGaxmfvKYwdGwlB6nDLkOPIlBGzjp9nPttRmwTSEcf8S3TZlxW8Fqg
l4T27JpFYeugKQ9RVnG82pYOluMcPglVG8y8uP9hkgsqk/YwIco8S+uCsuz7z//4tWbfs5HqoPuB
x/Dn0u7JLFIDAfKXJu0cYlbk0zoFihalI4BfJev3v1K/Lb9vuXqrjV56NCFagOB4KJlG2aw6GY5f
osTXNcY+i/ziArK4XRiXpjS5Arx3o54karJiHRRiI6Sv5v3LOP7ljuO7JjunH/GzabwfHaK130Hv
tlX6pcCesDrFVEZVD3Yx2uLcluqDWdfjRe4QnOnBWtd3QvqVx2O1PiIa6N5Sfh069KyP0CL0ssjz
VkdW7/8u++iV5tOZ3mWm1g/ovCHFOvphyTiZZVkP9gMO8iaIZMqXWDFh3ZCR6Wb5yOmwouFd8f8C
Cjasy0lLhgmFPbTWLWVdSjCkPLp/344ge6gjLK4O1LOEDAVSE29F2uSpLmtNhi4DhArtd3oyhL4u
ExcV3ZH7wbAcfpxReJxFSQJWkm1lYJaPrMpijro7MQz20XIHMTZxL96/CUf3m3sAawPYGZJQKAd/
dEw9L1FR5SPH7Ktcn8xxQ6uiWAHCIHN+/6s0Hf/39ayfKZsXrDGYBtT1j9fz2LTUVC03vg/d5uW7
eo/SqVZL6aOJrZ4t6LX3XiLS4S7UU62rpL/+JIZeVwiM0eTmem6g65nkgi07nV0xaDeeGKBQjeVc
8qr6dLBanCP2jCqRMG0LWI4kjYyRkJb8avzRLdJNJINxI96dJTRx7d4NDf6ZDuMKOd+C8y/hcPBa
mhisUdd4DS/VTzK3iFrGVTCw8eMbITJdWP7VQuONZO3m9Dw492JcA/nA2apGSiDv39Lw7eMLAlgx
gbZuY66Ss/CPid2OX4BovY2/l4MTfM5F7WEGQnv04Bdh61LjT9UucacITHpWxpvWhV5W2UX5ODCs
BgMp7GuapokD+nPW5KxUdQ8x+au8Rkw7pOs0HOxDFuU3Fa2270PrSpyEBHMba3o5/tXgxc1Zig72
ghMpXfRk1lBsDJk7nxb6yMNpjLM2XP8yMl0mIr3i0VgMrMgUeCucHyNx7XIqMX/HnMhFMAtM2FrM
MuiJl4/wW13U2TZdglyzEDhERlp4yiq/opqAajm9iPaXzrQ2TiuCe5vz+alN8R3Bc8pPKWHAddnb
eV3fMxbYP2aOA1I1NA233hjU7b4UfcSYk9GKO98FEEhtqj/kU5/vaBPMLRhkmssQZaPMWPVuNZyW
NbzxMRoo2KR5/qkPMShehTHMKaYVmvsF17MN4ScORbVhuGuUpzeuAgtvz0p+hcmD3rL3+nU6+dVZ
EcgMK4I5+2D2+O1mzYKgrcxm5hEquDaBwtGeht1OEXReUj/zvJjsseMalF/ZKPSdwvQfPlh+b17o
1y9jJB9Blg3NkK98G5HEi0toJ6L6GfubCo3QZN5Dy7XlqqqKi8F1evK/pKluaBEGxQfx2B8r/+Vn
otWhZcMmfqwD6z0ZNQUm2c/gi0lcHZzXgIw6FsK393/kyyf96xh++ZUI4BEewEbhQD5OIie7KuwB
rcyzNTa8M47NcbFqSHiyDcOtwS1A8vg2kzFOVWbpRe3GGVr8wdCX4kbAHBkErUz5V8IX0WltdMED
560kTupLhdCX4MVWdcUYl7LcGwbc658VTrDnNeXZm8Ge7U9RTp6K44FltuukSK6cStPwjaDyqd4U
9OKsMaKwJqL5OW8SRSuhFzsr8cwnc1IMJPD8PoiFjkR43BIdBhAGcV8czujjkMAyAjm54bw8u9Bj
mbrKnHTvNHl5mJbpqbai8otjRNOmtxOaHh3q/YNbz169ef/JeHoxv3ky8HV0VocYEOEY3Ji3688q
4or2QRo8Jz2NA8ppolhNIciPDcSnRW0Gt5oOuAwyDIaJe0W3p8F9kbrVBePag4JcnRhXi5XA2l1m
Cmcijr7i582cuCiMi2yug/PZmfe1Uzn31EDLq8bgoa18GmPzelETbZe8kfE6aKPglrBxaHajm/2c
/Ty7dALGNwoqxYcswVah8lSpSVGy/zaXaf9gQki/MWoguSt/ssadY6uxXzkiS+7h4mIKnHbMYg7p
ZEWrQSW0AJi/zWmEcCbegUPHASSd3U8WVe14RdMBb773b+5bWRKPmHsLW5QY1CebDY65Gz0lYZ57
EDNe53qXBiP9j/h0zKihuxo3NkC7H6V0R5iTl68kNiDFsWzmYZCrHT1OLEJExdH5I29z95SyGW7p
cT8bZxQq8x2NCMVODxvguXXM8jFLJnWeZZF5YwyRs/vg1/+5tAg12T5tsF4ocY/FgGKsPBkmkGOT
iQYDeXsTf23EglUD5mvMzpt2QYWjavRINQ71uAqkOMlg5ZZtqJNEEXPCBrwd0fjB5wzreF36pYRe
GzK9KPxMHjrHmS79Pk0wSg8Sd8X4iz3CEYbcpxXyGF8JK8SDgdmodo8fQLvLC2VcgILVEvoxMM7x
QZyv52nkOMuZ/sJIjNMbW+usOMcTlBa44VRAvcuuBPA+jDk9XJqej95AakosIu+UPWGzWZWOYNIN
uQwrkXbRGvKrvHaiDPuwAEXdREeTvpLyS8z9mNJpL0ac5pmzy1ofXW1oN9gxhMEo9iYjP5+UaLLP
sKHVTzezsUGUQCU+Knz9uf8ELnkCimsEczyf4y3ZsemEFtNY/AAmZQaraIQHicpDW+nwyMipgudF
9vGJXxvf5iHHDRomX1t98Ir8uwUbagkyRx/TEtQG3i5YlFISemFQ/ojx3+g3Lw/EX/q0xJ7HVztz
GaL7TtT9bvbTeNtG8fQlDQWUSQj/1v37K/aoQPfy9oSuri2zdeiZlqPDeKn6cQA5m/9IAtO/63xL
3oLwMDYBhd0zzsX+si87ddq6dXVSTo51oeqAgywo1XSdgeZAkFyPw3lm9M5PlPOdtwqZrL374Crf
5gD6KhnCcTxecTTTJJVHtwzMyVxFndv/oOrdJQ9EFhgCUEmcVz0T0pe2PxT0lOTih5tQeM3PlKk1
jFhgNY57J2jkoxeVybkZjMWDLXAmXPecAszfiZLbneTBGuI6nImXq/7v5NX93P743/95eq4yAC04
EmXf1e9TEx4hz2/P9w/z6fVTmf1sRP3WM+313/p71oIRK4A6wIReCpQwz/6etUBT6v7l6pyF8gKz
GGDQ/n/Y4mX6ChAIZTYrQgehJzT+xmfbfxHcIpAKGelyqMb8I7ze0SvsmVT1KJ6Tj1KzZAzL1fH0
b+pk8JhNC0xmuqyZMN0OI+rNVePkhKtFMA43UPLn03waiKJNs1BfVOMOD4Ur8YmXUd19+u3uXb9G
Lr9PElhvKxIvV0OphbidMRIOX1+Phvx2NQRJSMbSnvdAj2MnxcLh3geNTxyN1TqRwOj2X4KhZVpZ
VKGe389fYLeLDNx1GAX1c6SUecVnpP3GLkvrgQJfaO3Rzsc/UBRb0wfn5EsY8K8Q7PWKCbwoilG3
wdnmKN9w9c4BqEddOkRi8L5RcDwMRGxo2YK5wWplnqx8k2FRAYuEnWiF5Y2zr6B1WBuBqvk5naRk
ItmANSNV1gwrVWlcQCC8ItnSqE+vSdNOKxlBMtLgwkeZdi8U3WmLFMG/yPDXqvbvP4c/HwOVN5MD
l6o6iuzj2CeYjQTwQSkva4wQHvH7tDBUKWyWRluDeKOdH921sVV+fv9r3+ZuaJsZqqHO5xAp0rSy
HX1Zvz19z5wSt5VJffnCFbKKtAeoAYs6jNPH97/p7S78+k3YY2qiHOh4RhnfflNbu/PSibS5DFsT
bM7YAAuJFaDiVdGmWxNrt2XtmDPxR44Qqvpo0bwNrvTX6/QBjT4VEJ/d4ejrg8DJYA3h4BZ0hfdU
oRN8Kkp9Dd5Sya0vmmY1mzx6DKo7IPZd0QQ/FDySkzGa3fOJVj4tZEJvzEiCunpwBEPmmzSc5x+t
MbQb01iqYO1FjUv73eFA/ujc//NBUThk2+DkB+9FDebt7TP93qs9LzYurD6unlB6ygSj5EIBCSZC
rpPTEVXYtySM2vNp6VJUae4EocIagp8Kv5NmPacJJxUqlB+ZcIJnLP7S4IMcjWImV/H7q8l4AsEJ
kyw6b9VV1bdX6TNebopUORe52+mB840CsIBjyeREO4VZy1pMnXmDYxz+XikSh7Ww6j1N53Zfuq29
Lsquum1LdCXECGPyacyr5mSWlOpar2sfEBhRMiX7QGaR59kqA0k+wsiX9eXYGvIKzz4oCIkV5Stj
iYFI2ENaHaALlbd2nlwnc+1Mq7IPuksVd/fKZsxmg6UYNzKbbfYGt18QMo5hfk7HNvwS45l1msJK
BWSN6Hk9milDo9yO7MRAd1etxpk+g4XIdLPk03cqjequN40gXWH2FuxwPepPIKfb911qjWjMAsOC
jpQW8Teax0KjCzvjaw+latO20j5Bot2eWF1UPmekirz3TlXcMU0yAV3v3ORU4Gq+nrkPe3Lk6Kob
qwlNseh2ljVZw7ZEwpishzEJu/WAv/W2or2x6dvoCqhNYm6YqFUHjhp7XNdmrsvCQfkZwnF6ZqML
ufMc5e37KDfsnfSr5Sn0G3jpJhif3VCEyc6YJvMJGdv4UwIyw2vFVhDb4BTj1jypvOHlGMftnAx9
iGV2jPmxcqpDzV9dRb4rGm50NRDvyRz/6CAembWHo7SsgJXEawfYdbUXfrHFoGc2b0bKAAQPuMtQ
hkfwvXOogcn95ATTuV8sSxnf9GOHagWuDNpk8ZzGqW0vX+RoTEGFiwKyn6L5bqN0VWQaver71rxU
haqK6TTCgnA/RKi5TyqclABra9NGE4/zk3zGSHHd8wxi5BZMZvG4gLAi8Yo5DxU2kN3WL8bEXKMK
seIrEmaY9IdiDsZ0wyRGpMiQlMOKGuPGwqW65yzc+Uaax1cDr46P6CFsQxacU2ASV5eZiEiWOLzi
LUwhf23ERLAe4CATZzvSfPgjadSP8W4sA1AwEtV8sfNqTcMIF48ds7ZBGQGX07ydQc6JvJaZUaEQ
S7Lwp9EPYNM3ZmOrfeaGfXjpGXGC/YsTKIRX6xoZxDIfJNPiIsXHIA20V9cADRYiWZ3t5tKv5oMp
ZdWuPSSz2TqYvBmz1gzw5ZrHan+ixIHfDe0ceCn8n2lclblpSG55XX/KqyqqThwRqXJbpMq/XXrg
OrtcgzvO0jGV+PIAcU3VPiZDqe84jB2mpBe7oEvOFWwbVSYLVjsTQhu0Uu14UYUzSxtj41ZsYgvt
kgCtXG6S2En6TaB58qsskJrTtuQOkIbCifxNyAXghjAj0T1hTJuORxYU/touUH1tsgar8aWPC48O
hGij6zwec3eN5hu2SUVR3TgzIertrDZOPC43CtqtRRG/wROWyc5tAcwPm1P+3sqKoO+zfBKno4ab
GS9tcYPu7dzMxgoNZ2hfWniyYt4TDq7h3CO0tPtLv41mZIRRpy68vuZISmRQ8C9EkMOcXcwUZw0Q
qazTU4h05bSTo7dkZxZjGfdubntP3qSt1UOLxYuz0hSAo/MX4CcVFhYgu9BU4fg+xqhpmJApRw1q
zbFruZPIRb61InUOQzACDgoLD5wH9r58jlc2CGJrAThtmVrHvYHUYd1bSgM/RpwBQoriM4QbBt9y
jIkmG4RUHSRM8WYGkJTa7PTizHPNASxlKgFVudB4zA7azCoday6skWy6Z5xg8HhC4FXbil1SbEBT
T80JQuHYvs5FXxS3dojrwMnk0h27gPjIB8QafeUhGZ22zVjx1U2zAN2jbKqWvVkE+sfrSx/Zn7gu
jc5xvZpfgeSUW6VnL5g9KwZenbZEunRTi4BXHkAUvCL+GXsqBdL0qqMor9u/LQ73Jym95v6iMmgV
rjKz76bdhFIAxsrQQaDhz2BS+EVsIFNk6TiZEutjjBPBaThkGGaGKaSU9Quwa6S8hxRXgNdx1ARO
JSHMzc+ati7yu5DTYi9r07p8Acgx/O13DACkmX3ahEnUn8VpkwybWdAjIsCdnX1rc1vXZtDN3wus
6q+nXprNoTPnofg0+lUiD3jXVz/nJdJ7CC3wdEMeAB4mo5eD6SSA/0+GGeMaPLYQEgJMH7ezGNPb
jLHns6gqcm/j2cJO2PZogq0QO0SPIjeGZFvaNa/JggwtOnHrxup+QDABcBdaLKntqHfsbe4Z3NFp
WPBzx8u9O7NEbyPwi0o1cNI6gwYRdflX+CXRvcGAjHW6RAo3TiUxPUalZQXDSTbafNSEpRcs3jHB
ZqHlseB4XEQ+JZhhUBfTHJR3+YAMKAzkgTos5sALsxj9ukBJtOxbhGzNRe1P7rmhTLfZQvaphrME
mTHDWJ6s0nsiEflsglfDBSzI5MD0tBwlxZ4h7DgF5u6uTDor+2w1ixMCGCMCmx9aBNwRHybRHaYo
vpNTI27Hb2mC8HBdBtgNnFAytG4macTLXujZiG229CxSWty5cz0V8CUvK78tKVy3QJWR+abo+Gei
G7kFAslTG8M6Axm0BBV7h5QU4CeH+Z6htEOxX1D/c6nuhNHLHM+mxC1O+t0n2HzWfY5OCqmbyOCM
lkklr+uotthg7TbCHRU4K87P/RcoXiOuTUUxBA+gwSFLjbRp3Qs31pOzHf6eaCoTVvSWiixPk8QB
aGCGiUlzHog2da5tOtv+CWMKEb9rmozkohAGpCTapOwZRGO9usCPl+sXaDh3Mg2LdEM73DyZmUMA
t+n7AfzfOA1e283/raR8UEnRmQLp3H9GVnyC65rVye/Vl1//zt+FFBNWjeeQklJJ0Wga6nv/j7Gx
+EeatafdxBxNrPmbYuNBsaFRE/pgKwCV65b8rzqKa/5FYsDgOVo+k0q39Y+86N9242DZUMfRzTGP
og7D/M5RGSXuRyvz4m687KvnRJabtPz22934N6WR45T8+Av8t8mMmEBdtBNfEBIup2G16qOnbLjM
IuB6z+9/1YvG5PfEKaTehKMDGDrSpj8x2DN+kqXHWN9F7pVwFdtVZZCx+/OKRlTReV8ZfEtChB2M
/cDjpd9pLGQiHlzJU+BBXVI9w/YJg+Qq6d3UjAIiqkRDpOr+R0ZVK6vOe4FXrntm+u1yUjLIEAuI
Nibaa+Dq8f1MkJ3bmXcqVW5d511DejXjzYKFtJb6gk8TnlrZA+NnzKMMDo6fkA27tLjrIhuL9zVE
P0jXjPGEFZo4WFhyVff2qbDa7IHIuD8r4w4PWsSj5bjDHKd0qrNAYUrjTf5yGVqFN341Gig9gG/0
HqeYDjJfMD4uw63LGdMKGF+jw8jceovWPY5gBitc1aaYCEPgGPbyRP67a3ywa1Bg0CKZ/7xrHJ7G
pyz7fdP49a/8vWl47l+hDnzoXr8wa37bNHzzLwS6dC0QW1G60xiaX7uGbf9Fb5dWHJUaF5ZWSH3j
165hhX8BYIHowIIP0Df/s+rrUYlClwFDxvk1hIBiLu3Go20DyVm55Ewv3UnZtjDHKf/MjIhyneul
BEncuom4SbNSfG+Dwr5P08K4xRiZlqyL4cK6zEJvXcrJZzYI/c8Gd7i1Yi1uvWlov6Ah5HOw0uSV
ARSdEcHCXVlRaYTnm04cu7S3ty3ggnPbQCyBv+wI/aaY9409F7c6ZzlEGExhSGb0PzSji1lbd3Sv
DIyEryYSxhLeqBrxQmznJ4aU5ww/aG7bOoWqw9FaiGUXlCaMudlov/V2mj8hQp6viVOsjU0O9WUW
iwAPj2Zj7eAs/WMQibWyWxjGCWfATZL6N4T5GYjvUtoPPUZJxea39fJv9tUXjca/NruXR+D7YcBT
pXjKzndUi6sQrOVGLP27RRA2MkvnbVt7Ej6Q7IlGimN3KiA2qqJrWn/2eQ2GKFu1fth464yx2P2S
0lhEltKcREs/XCyxl17acCGf6UMan5jDk1DJ6Hx6WZ5f9J4C8x2mqnwk/Aj3SSpaUK5OcxWG4gE2
tXfw2vE8SEYbg0d7T4b3nHd+98FhEr09TfjR+BvoBQwTzsSB5bhx19J5wJqOLNdtqviLpZ9+Ajvk
M6cb3GvU0czEOuIEhanauikUMo4AuIQSJ9wLuAXmt7awuA04X05XCRMQ+Oc53l088986Wlo/GFC0
zhLDHq9S3GvOHXy9rr0wfkSKZe+jLCsfGRkZ1j5oy0NWjzWYIGHsi8HxN3Mj1HYxK9a0g03dmbk4
z7Xfn4/Ctg5wmLzDHAr6dm5MujzNxXbyRntrtlG687IvJYHkqes243fYcjiuKWf83jLXf8LgqTgI
BQM4xvNi3Q79DsjCdMtLWVwGA/t3Cff8UDjPOD7mAo2D8OUGRizzy9gJr0HJTf0mywjomyCP9uYi
EK5kfUiiD5mXSRcSIwTG+UWVOt0542n2p1nV7Y+QMiLcpVGAdqVz1CERCSwGQaQ8RFObnSEBNi9e
csiwtoYL0jJ+nO30xNlduuSHWaR5tF7cxL6FGDNdSWVxQxkM3iHmWw4U/Hg3jWLBIGmUn9xUdt8i
VDLnLhNWazOZpg8Eqkd7lke8hH5R60W1xRPCp6OyKgdsHCdDYNym+MHdqAgFncFsxCOdeEAJQR+t
iY9YO6JZvo92uKylku1MnjSnzzm4vssWf8rTTpndp6Bz2w2kanNPJeozTgTFpuv96qHq+JRigKyr
jebqfcmzP29iKF6mogYjvWTagoW3bydTFO4K4VyEFZkxX2BlwHgu49U7JidtvaE2xanwWmVtPWXY
W50q85nTMF2KolluXpZtm3eMThEmXIjOs86ttolhaYbm59CoJOojS37CXqe7zGQG2LJqU3QNuMRn
32qz2HeNMID3YeOIGrzv/T2dhSLYFmEaXoUm7Ivt+/vVS0PpX/uVvv1EZiGtJh/XHwS8+tX+rUky
dpbEpFzEt6SHvrFRFsPis+iMu3yJ+AVWboNC6KRxn88ZSglvaqP2gvnLdNqHCBVnpqAn7oxddvFp
CMr/qRh8QWjXkW4DlxLxF+HCKF0hRrFOuqw3/mnzgx/g6uMV5QLnMnMMb39AvRRSWNT/b0t/UVsU
F9Nl1ybJrgPKIVayZp8hkGa/sBmaWtWpZ2x9ZPlPoFi9M2v045+8ew4b89w8OVNgnfsMzp4yE91D
PS7D+B5ova6r/B9757UbObZm6VeZBxge0Btg0MCQDK8IeSmlG0KW3my6TfLp+2NW1XRl9Tmn+2Bu
5mKAvKislAmFyM3frPWtKi5c/5+/+X9h8Px882kkHBw0rO9Zlv7ltUs613YxpXVXD5ZFEEvXRd9c
zWTyYlUrMLmky5kk2+m6cMZq1xP5kOJOq+yD26TjsS7dNJCe3h4KS7aH2hHKA35Wb+dJs8f6K4bq
enE7LEA6P78sMcP7PS3/Nz5BEh281HzvIjkc1GVxR+LYFwjSpsyrnTM6bdBk1sLUqeUYGoboWU+0
bK+4intkyKJj0XfsbdEZ8bYpkumltUlnbOUYkRuetJulciqmaLo+fSEa5bzSS5N5Qdfo2mYxGshG
dY75vN13GNiEb+RNcyjMMXqpHG51agJwyeutRyEcf7YR0RWMpvmfAwzy4zK1+h0wJRQiZWaMgaeL
5FNtOkJk1SR64cobv8yiXE+Q9a3JnOg4pBWJlOoaPGaWnHxN2qr+jBARD6i+xL4p7PSHU2YfRs1S
huTZ6YAevwvaVietwyTiHupPR+JKMV2Q9PAs+ecXAkUiV+kvtyEgMWoGzeXMXsvBv5QNnNX4UpFu
3+FJ6Z1gVrnB/J9nMxBAsZsjgVaNZQdMdXJFtpRizZut98vtonEmbZh9EM0pHBrFrDiKtOikP5dq
CuxaydLSj+Nq2zMr5XbVHPV9Rvz1uALD3nVpjl9D6phK6NkgvkJmF9DUUcUV5xGYzgYd08x1YFYw
swujiIptoRFE4nsIZPZurEzhvDQOE8zyEbqnZvAqu7kIFB27uLCVW1Suswy7QR0+wWdwRObVKuMS
9X7Slm5nctfunSJdS87199rItH/upnxvKfk4hxPM/41nzM9a01ShUbtYB9Q5wZubcUPAk+ZizfTO
DDAROh9o4CDhw4c41lqm7hkJMmm2GensFgG84axPkekFzZAnTzwH0qdOyRhLLXgNXORXZfbcuSYT
ngImYLwHTaxOQWlwGvgd/tpPhe7/TkHSQIEDW/youhOPKqBOYbus6HIjGfpNTzKnyo+bc+QVIF5U
MFAt/x318I38OdGXKHDtzjSBr2rVQww14hCpJk+dRcuM9wTU1hzEmt3kJ6Xv1/LHm2+BeNfKZomF
+l4WNedqL0o3nDnZ1UCpFu0qtmR+nLkQXKRsZCxgyExIqtEMY53mpQRrqsNyC3wDuoXmZNNdS225
ZzFF1lEHweeb7BgXn+yiQOQvCQ5y7UgjOqVd5MYcWQ+6nQ3UyW4jx5ctQSY+IThGDSO8ZQvKsNq3
mkgNmZ4V344j7/pasFCxKFsjX8IHgWSZlxeH9dWNXjoy4GHg8c5483L780b6lzrb3Vd9eSu/uv+1
ftZHjZOFDND+J1n4P/6GtZ8///RDzukH0J36u//rR/3ydQmX//3VrXKeX/6y+clevR2+2vnuq0PJ
+gfdeP3I/+4//o+v/xbBlUnRn46c/6Qs+t9tDmXorfultf35Ob93tq73N9uEKch2+2eHqtIn/z4O
88y/Idj0qA8wIcLk9BhW/d7ZGvbfECIxiuPsQrn8c1T2h67IWIHPfDRhZIzS4H39KxBXwJG/HpBY
pfiDJYOHJb4d668CUpA0Olt0QiSswnUD6J6QY6qefilKpiODa8bhSg2KoJZy/iTSxLmySHhjuKNp
8q6uBxVBXKO8sWpUzzlNNAyEyHiwWbUTTNXYVRh3pnNJirG7m7MxfQDFUexyAA2HErfYa01wC8RW
JzsiM9r0M2Ux5rtsD6CVqGDMTRO1xtAsH2pDtkMaxTYmxinX7/EP5kevKqpT5BjFbjA6H+95da4t
HRgXM+NQycrkqI0dy5y0ZClaKrYR6krsHKlbGzjxxXRdN27BjN/1ruYuJtDasSf9FjiDdwGipZ61
OVXPszErI1wIQ2zReBY7rdbjH+va7sIk/0ab7OEcESqwqCzkNJuTgOALT/FV3DTfyCzWzf5sB64G
oTFoMaXdeLNmEvjHzg3R+kTKUZEOO6tQm08p+SZGawCVS9npVaS/Pwozo2WZiHvfNeWU7T2kDaE0
ZUmE2swcgRSK59pNo+t+SORtX6fLB6yO+UfVDsZtnIODNOZsDazOplsmHLDydT3disgaTupEy1qS
ihkCVnO2zViMO0fL+THoR1ASVcV+pJFG2GIOHNPGGqIB581rTnoVI1OgXR5SWES5WldhZ0XnMm9K
dA7Kgej2PCTTYXk2Yf7thBit79jLSC3O+vTU26bcMQaODnqZlDd4jhd96ykZ5eGMP2FjYFE5NQC4
nuI59V4cYZebLLWbY9TY8r4ZpXjwIjM9L1hXzhLBAYkxrZE+R73ZXWWDWtAvm82uRLrm+RJK0N6a
CgesbWEYt8vspOcYovcWEg2PKaVx8UaQ9YPNqBcuEgJjpFZN1RuPxJMjTgU7CrLFLD6GaWoukW0X
+3kajJONmXdXNnb6MrhO+kM0JE1UcWPdlrCj9hPrxgvLHOOkS6vet0MdX/ckeT1ki0HaWNkVh1IZ
DmSrysj3Ksu96KLRXypMvWdBUPshxTK2z8iJKiF1dwWK/cS6Lhp50hNpcjmScqWo/QZlNtj5wVVn
f55ybaM3kfMmDPllCcI04rkhCQ4AF8lQkbnF68Tzzan0J8PMP2Zp8MxTYlN/cdzqoR4N4GT0gLtF
rdTbOrEpHiZqo6Ol4In3mdqrl2TE1xNIxRZvrK6yGyfO6dRMJv4ftN6EuY98UrykxSOqnjIYDdCF
KlbbUxbzS5SGkZIvVrBep5K8d4yuf0eyPLak0msPIG2YJ0n7WEuxA08A5MR2yspPiyy/xeta3FlR
sbdn2R/taKkOZl7WYUfZ4Q8clmgevfTgsKvdzqkhQkTD05oEl901HZDqZRLoTXKsCUsy5ytiJP/h
qMr06OBguW30kiiZvkFc3ia5HiJLbm6oRtBQ2OIkWkATgedtrT4rd1En1TNshWInilua7PGHsjps
c9vQbjM1NvYVVL+ORzM64Uod2w+jn3kl8PKkOjm7WpOswAtCaFn8Ge4P9IcC4Y5KjqYv0SICUZnj
66Wr850y9az9YeWjeRon0r7dNfg7jubNUC1I25d6YLDheeNjvMxkhReEiITFGiCu/8wS95pWPcWN
aM7zGjWukTme6Wv6eBwjekoLz/E5AdTAW2PKCyV9zl2pHgq1UzcgN4Wvr7HmxRpwHtWJd2utoefd
z/zzNeXxNu2VPHSoQoCZdG82GVG7TLXcGxUxEADkNVB9XKPV3Z8p67pb2BuQMWTZ8NS4LGsce7sG
s5cktHtLb+95Ii4E5HXjpYtNamW8AFddZldBPyvEjQ5me9Ov0e8ZwKonJUqLS5eXzQbRTLzV1rD4
BenjxuqE8YwFT9/ba6h8G7n1Npky/Wtx4oHoMcLnTUOsD5c1kh5bQfoIboycejvNaaAywuuHNca+
XgPtFY1oe20NuZcecfcjA7J7deCtp99dwnnum01HBhuzJ4+1BKE0yTUsaMmFpsnAU3D/85sdgF7F
xrAjFLtfYXvNY0FIUgorlaT4aLlhnmZumnFUSc1jVpNB00Ghx/Bka4t6vGhjrB89DHOvUuh5KCHl
MnvmcZtyi586JOd7Joig3nLRei+5badhWUn1RxG10Z6TCXhyr4ezbls3y5ApH43pqMemd5UtQMru
GgZ5cbBMJdraZtzdFrN0H4E/RFtNFep9MqYq386JlGCeFXtrgBi6tLN4r7pl/lCXgeMf29cCynEy
Y9RWUgtZcxs+26YT0SM69qWqTdEhD7UE+LaiYQk9KPNUvWXht9Lasyx+GCwKEQKQBDGkFYuiWxGL
Yl+TbkOkNTN1pPVdiz0Cfa749tomP4xFgth1ksoVQ98NS6vyZkTotO+t4cVqLXrPuiMmghX18J73
9gvwVEYTwzdkuBeXAMFKW8pAWST+SUOUh7Zy5g2AvgddxM0RmaPzMDa5TmaRrD7QA03PUHhe3LFC
x/JmpyCQ8yPzcAZVx0Z0Yux3hT2JxT5TalWx7aNHUi20EnVvblYr9dWkW044yGlwb0QvZrC9TEiG
dDbcfTFKfnEKTQykRRQPAX3gbpipenZl0tTnFABs/dJwgFJ7rVjOKcq3AgRneSSrsg1XN29IkZef
CFytjkObOi8Wor9XbFFxdhPh/js5iaW1D+TTJRHJlIgHqmDqJDE9fsxC7dNF3qw8WtC3rI2WjFHl
10qa07I7qRFWijrvIClV29Hunjum3n47xUWozvwm+9h8npgg7+20ob8u++HCR05br3AoJ8lhSlvz
avB0BGwqAUF+HvOUUZjk7qlFHqslKTYJ3pkjTxDlPlHS+GpyCi0A1DxfxiQWl5bf5nHppd8nqXwz
c28+tp6t+J2pDDutmmZ2hmu5ZSyMyzzLaE9pesBrAVdpDsc66kFaAsgmZQAWG6kgMF/N23JBpp0J
JT4wse0PpO1Ex7bU02Ovxle2VhTsEbXmKonsPpxjR7wOhg37DSXbLhVjus3QGm1QSEabNi3qjSRn
A/9RkvMgQ0YRAGZ29wMzEBzEermzmIl9m4TazUED3HxiIk+P+cm4zHafO3XA4PIxmKvI+DES5uqN
RG+TlsVv05Df26Tflyj0TX9uz/7y13/7v+nP/vx1/+0fdYP/LzZxTAKZAP7j9eTh8y2pf2nhfvuM
P7aTGroFNOB4opHbg/ulJfw/kgaHHSTMY9SzbKf+pGggzIdFlYrQitHTb9kdfygaNBQN+Dno7Nah
FCvNf6WDw1HyawdH60b/xstarxnizv9qpc41luSWE5EEkJjKIabkESdOs1nfYKmgdiCoj4mcUR0B
29vF/ZI2lveO7+krqRfr3nRywwq0mp4NJN5zTqD2yUKBheuUJ3aEk8BGxeAt2JhDBftpf6cUayRO
EkMqfFQrESk+Esp1NZ97bNTHkRP94uiJJyi9C3ebdkl1wE7FBIvzPShnLQ6rsjARF7vWFj0ky03C
sW7zBv0WYRMyuiqMprnqBhSo2OHEUYe++omY8dUse/fT9Dr1BaKFg6QhbV7bMlcDIPr2wTa6N8La
mK9MbjLTy+ltclrmZNqrTW0CF3aVS8UOcaJmGbcJEOo2CtrflAgO0WTlCFey6Jm5pzK7VpJEf8YV
cmUORhNq6QQUNk3Uu7mr6juYt1U49upzASf5cbKmmT3rtIrqvGeih+3NqALvM8bylqWl2JtDq1/a
smRd5xpRoGYpVc9Yy4NlJ+kZnOsbhEnU7U1F+dLY+UmUEC+LWhnfu9yJDnNkGdu80gqEcilT4MzV
vtbtg2B+1NZ7T0+/hkFvNx6g9h+WBtUNKzcxbALZcCDKwn3V9SHfWA4U2smtn8u0fBawOs6VaBCv
J3J8iXrFAmwIOYDAaEwJzVp4O7IaebCXo6X5RupRsC+TSca5mjSH9Yp8FGNnb4F5Ux8RHZvvidUT
TFIhfPLqR4cnxzgaO5V94UzGJjRs3861+M7MtfxmnrvlOpKJGiSLKa4Sg5oVjeRk8V0M0izxM+zw
gbLzQHKf3ku7K66sspmvktk2zvgKsy1uRXkjW9Fuq66bPnqaCviVqtEHQ64037g/s4HBnantSoqy
q3aJ0v0EVvSqj6AkUfvKGEhrQUQmkvN9opFV6PPYdU4aa8oaq4CjIgedMZy23lL4LczQKoBg7/mx
2w1PxjQP4PGNWd/mRi7mAG1nGupxAp0j0a0gVwix8etS905jSesOnhsfejCyi9p6EiWc4EXR3DZH
aqnuMW4xiYAl0pPvelhqYmQLb88Ywr4i/OCTWA+VUShAB/h9FBhGq9CZTws7TwNVI8Bj1XsGow3B
snVOTVSlN6jQk22Bwf595JG21VPN/shFtDDpL2Fm2GNi75g6Wn6r9fIHNhTjRskjh7kC1d9AOxUH
VS7nUy0Vsw9cN6qPBKvKBgK0kmzmQV9uENvUm0WgYLbtqQrxbOgHosvbOxJmrB3gmeHJSqz6FrZe
Mvs4bPHqenF6Uhpj9q3Sc0vsYPxIOE/ItGR6icnSkaT2tOO80ZYxwwdCu5MCI3scJzHhLBPaNkHo
FSYenv22N6MzjNz2xrZFqEVu+8A6377zjGHfVsZyLQdVAp53jtbAbe1nhT4d0qiUe1faNfHXurLR
pNZNPp3xfE+f3ZzLbmSrD3btNVU1gVgjx9wmW+Ju5zSJDhVKqfspEzpJXV1gTI16Lh1lo1a1vI1N
0V7N2MIDDk/ilwd+3bVVJWTCp7C6VeGFsUGLtQjtEw+IfWlMUR3oPvRD2Q0kPWgdUfSgKZB/RPGu
1fFERGnzgJppxl0A8/h+8ZL5q1QbotnJSNvPWWne0kGW6Dgo3Fh4QiFG45bvnGFqQoJCelaES39K
k2F6JDnZ3Iqmipnrj/ZZnfBO12Q5H7w4kWGUe+6LUavJHtU8qwa8CZsWMggxo8i+X3gILnuieJQv
jcrJn2RCnLltDt9ZpNRopdP6rqNvDhomFgyq1bd4KeONoJgKdbS2O3fsFNZfbFxe2A31V21Z3HVM
EI+JR49ntC1jJeJXCSm04BMAsL1RtdS77pIWCzuKgmVjxnbLVKfGo2RMboizZwwHJzG/KHvHjXSm
DwpONm6cmYz3cpkErW0pV7DIhV83lnxuJi8NTK1Z7mxXemFv1DbDm4R7w7CbcLHc4oAcZDpXyaBw
YFHoSis1X/NihLHtiPSiRVXFeKTW3mQZmyH9+WM0cKTrctb31mjj3VaVyLpPU20K6endA9vBO+Dj
B6oHljsthLhNrsKe9CtIbqGTjreyyeNnZbLKIBvKDgd4ldxkRQfoQRGxfFJjWxw9QzjHmORglxM0
8vacmwoLe/Wqw4JytyzDzQC8wxeFWkA8bPPA4tpjtayXx6gmKpd0px2jperKXuLk4LnKXT57XGrw
YOBtG1EcmFXs7lOGmdvYxXrRGUMZqG50leVNvqvtbmCdkrlYJNQ0lE3JvBih0BayQLqL+yHz9akQ
G1IySpYmLcc34OW3JFVhAiBOPi1j53xojNveW6bFF6trbzujtO4X13xUZ7O75F4krhh/OgcQ6svO
HZxhI6DAPqKwHo6WXb5lS9YfksxhA52n9W4cZiCfS+HYPrrh7phCxQFUE5t3OBPrm4WlWOjy5Bpx
A91qMaM1RVbyyuOpjAJAi8ZnLU2VfbGM1lXZpNkRIeMWR61gPooz1TafJoU5m+qWxSatjMh34rF4
8Ny42Q29K64bt9dooQhDUEX05eYxR2CcJDuXZACo8F2x70BTERxqyhOzpvjH6AFTcTqgdM1SiNC0
reXbEsVDUlYVtpLMuc8jXkIPxi7g9UE+z4zzyKm6YbD4GtHu+GVtJtdoM64Kwq7Okz1dwd42HwuR
V0cBxmljKu24S9vE26ZTHr22wzztsPS1r5NSkWXowcerR308ODIjTtXuXqXGueJBiIfKsKrB45/R
0W/KYM1hOxuI7N1sOXre7Dt5XJym/oTL16TxrsvxYhZ1HCSuWgeoyYrHTLGre4qq/FQJl0e9RQ6I
DyvVza7rutd2MN+bSxGbREcaK1Bdbc/SAApRTZaySzKz3KqJHl85rNM2rZ4N+zjKUmYuMrNvhNVM
h8QstO3kDui+s8wKmIG/dgxRghoTbrOTUluuGwkmPrda7VgvbbW1XDm9DW4EhBrXEkVKTgfIGDgW
oF6RkIcAeKcPKHzNqz2PgUqZ+1bGXhTyQsDblGKblZWHDxIsOp5C1Q3KLFf26DqwAtGvlZmvMSYn
PVHPmfmY9kYC7k1YbcefUd/qoVkt0HxLGzCO5ankBufZNXVv0KcqE10dyr8aNTxBZYR/gXMAwiHV
ZoIejFwKRf1eAYt+PxcMuHtmjDXgt40G2c6n9MBqV+S3lrPkoBDVeToRgaIGotKzg8qv+nWdi+1Z
zUYbpxrwn8Rzh8imIzopTpQuFJLocF84kfMDUGPrbbXBsfx0UW8dZuE4duY4u2iy1z4YwBTXyzRx
IIx6ERhRDmi/WopKu3enaMiiMBrdpP5Ih3K0Tb+sCq98cCYovOYxstw0P/WT69UPch551/BST4qC
TKKiUvaz1tYWA/oHfg1yzlfTiJfmWBKSGPpVH2UkGsXz9IW5MfmURD/51AjWDz6nfsX9zKxXH5tD
NEfsibTRnUK1c9PjgPXiLBo+mhy++sXgzjPyud3yHZVz7nkiBASp71LHapinNlOFGELVziB33ANW
64U7mGbu4gz2w5JgpxatZX+aRdMR5uIszSmyPLmxFq+9AwRj+BnhDEelbMpbVSZJaBvMDpkGyGFv
Fr27ngZMIkSthwTRTL4uu1U4kOZ7uy3MjVNY+kmtOvPYqsgZUwt7kIv2I7TsuVyJfnw/NW/qxykd
zecO0TMCBphxDrR3hd2MClFI5Z27k4hYg5SYhhdpRddxRkwGoCdvugcNFodjFqdR0A8LC60m1gMm
GB15OcR7+J3l2oNP6BhSKJ7CmU+lNRyyDgWE3zVVeZzKLHuISad56Sk96ZkY0c7VEt+X1tJt3fXN
Jr4i2yleT/dlsdS5KBFDLZ9BEAoTfJQHxroEdUQlsCCCOjJGrJ51QGFU3fWxR36j0MQTUFCkjY0r
flR1/BShkLgy4Wngf61UZW/oq/S28piSDqN6IoW5uYc71FVhFMHmPw9TYt5WiXhzFuKIkJRNMfQp
sinxsak89tMlNiVvSGRf58VcPBNrmD2CvI12bIlwwc6Dpu9ohfrHvB3k50o7DBrdjE9dGTchr6ja
Zm3GTYhIa/Fbu7dmn9aDWmfdoYZRYsn3haqPil+xWOrV03wjnNWwUnlFetfGHpWYWND9jNmgbzpX
YVnjLN5B5mZ6SJYlu7KYth5KQvEuhUXn4Ew2F5OqvBduvTwmsRlZPhtlfjhj5tBQrXxmYo/ohStf
qsGSOcu1MtdLWAxNtOv1sbjDvOwSYcR1hR4KOJdQ42OkQydsqHwR03n1vsoismRpy4jzqNZCVrPa
K8uguE4r1VpPsHjjzUJiUe7SrBQ/6l665bWWZ52xKXDgGGeh8RRgJYXGJRgSu1PJuDLt5VOZK1Xe
aGz29nZSl3zBUZmf+2pqpodFKhnPV6Wn4e1vBrVDg7YZBkd3GjZN7SRPvCWt627rWCTA8TutZtHz
Pwn87RKzV6YL/updpDjioSjK6elP45+/ozbW/upJX20crCqgqDJcYTHO1v7P6r1GTDIrDE1eYqWD
w+0BO9J0aA+s1BS8vVH8qpfGbsz0o5FbW8Vst1aibVwnOjcDwse63/Cj7rwlA0OV/uYyYLoWf9V/
58WtYvM/S5p+vrbVW2MCtIA6snpc/qQsLLURslWkywsQ2ovTUCtGeywm//wd+HvfRMMiA74EDYLz
1zeA3LKJpneUF3iRyKppgRXAnk79m8rw/48k/wvHBCPDFeHyj0eSD1/Tr6qS3z/j95GkZyAQAb2B
s9uGwmKYXAR/jCRV+2+wQHSkp5r+m0DkT7IS4ib5Jx2yssrIklHi70NJ3fobpFMU5ibKVWg16FT+
UNX8Mlj++5coc9H/pCvRmYmCctFNDSs43+vXq1TtAcmLulYPLK3a51HBAtoVQLYnvbhggRSbBDWy
P5V1fudI98zeefxhj5m4b2rlXqhtdxygURGu56AwrAeFIZhhR7txJa0MQBDeBschdseuVeZrbsTp
ZFl6jFPRsWbj1jTJQCt9paKuOCykMugXz6Rve+wKjLeMUPKlZlyX901zdtmSruFCo6TG8Vmw9KUJ
DTXPzO2yxKoz+o1sW/EIdLrn2cuQptDoWSebh68eef3GSVSz2yYFD6tjb8YpctCsypH0M3idZxIJ
ymzRjk49608mbnvBMqsmATlgdjG5PH2c2ToM5JmpJDTMqZM9RCRRDCOKMoSLYUJW8ltWRe5nbGeY
NRe9wzW8gYqiUk65HW79+2lps4Y4tsLsdoTW6SfSBpYuGGwvOUUIK8dAYt7vtiNBiuOGqMYZbFWd
7UuQfy9TlfalX5AztM+UyYU571ov82iZGLjiZI+c+j4uqH2wfGZnoVf1PtPlU1anxi7rJRVw6cV7
AAc/uapx8sx+AxvvzKPMcaczcBNs+8Pw3MUlPvcCZFs5JXjtR/qkMbY/MGOxTxrkCw6bLtDReOeT
cYin/AmWEEA0T0Mb5JrvcQpcgtpzoGkcWMAuSsmSTH9SGFr6lgN3q3MSZ+vq1Y4k5btxSZ/sQkch
nvYntumSiKb4siTCCXCVvtRld2QEW+3zPm1ow41wIpTM7+bGPjUNsTEtISAJUUp+rudPDRaycGiV
epOX45edVva5tJfoRnq1Te29BmKh5fU7Iwrzech35mhqzObGaz3DKjGOIwFbWlQgrh+TKyal7dnt
cUMwPVMPTp2m22paLH9QYtQJnXDf00EfgQ9Z6bubiOk4tfO8aYSl3MXNbPpVFn9FRlRfW0p/b/Xp
dF+VEBbUhiEQQpZ0X7EE9ocUYxyVqMV83sJFgcPpwLmQbBHfetuYTDbymRSPpCn5VVt5SX5XX4cR
Zwc7OoS9yKzS99ow64CwEjIV4zZeO8UurOs1w6XqiUtaFMwS6oizGL2B7+rTg8bOF0ETAN0iOixL
Jf2ya4SPqv/ZglBBGT5lx0RYXqCQP/2Njad9HRYnyLTez3JpriA+QRMB0QM84JgPJ5uQvpthaDFT
G+aifNe9XRn+SDo51T2Przhss3GZWT1Oyp6t63A3Uw4594WZNzcsYZhji6hNLw0CM/TRqbuJ6Hm6
QCuG7OGnUqFXtSXepVmtH6shbktM1HT4bDsINvUj2TNVEkagRuN4A8pdC8aRyyL20HD47jTNn6Lh
UN3Ejjkfhz6t9novZ0lCE5fWFJBKjdxV8GpzmhFwg5oQlLS0Ls3WJl8k+aY09rjXpCcgm6Aakxcd
Y/lLZ3G16KuJf9lqY6lCi/fKnUxdIqCEou9UveYnyyWWmczGgVRzSkySAFI1VjaWMULpbJBgq40w
NhHj652II1Tu7vJjAsPz5KTNdCky5Y1b6llfUtUneLnelKD3ekWYlwxyZNgWEAYqJf2MiJoOU71J
n8o2K0iVa6z0rLfzqEGMIIx90UrtBjn/oyh0xLIknaymuKI+ah4gFgdF1TikzR3OXOUeLJnzppcW
LrTcE8FSetg1hjjhNpYTy6BoXR/POFrPdoQcpo/6LgQy3l9gQtQbvk61rX9upNe7Njcjm23uCPNC
WNNGgVOAtXO8KRITw/zc7SUJ5FjJCSfnWbK4YFLs6lYa8wviOmtP3pj30erdLXE6EDm63Bj3htv/
sJmrsoxQlQ201ANzBzfMB2S/fq81/XdUm+aG+E7lNA9WQgM0aGGlLt4G2wx6nRj0TWRqnAfufGF0
nV8vijqekbJlfjUPTphWE6P7DgDOyMZk05t6vEs8k3g5qbsB83BWQVq7A+/Vcgb3Z9D5uGDREvrg
zbgSe3iYPdESvi1by48RYhKnARPLRbFemyWzRWIu92KadsosvEOrjhG8zYlpju2VH/QO40ZV1i2J
Bnex6XIRwkxi14dvuHvw0swLDTcn5htoP7AzcfAU9MwY878n4TyWqcPAwpPDVu0afBIkRTHvWMkI
1cRAcCino5KLzzFfzkUfDSdtWrXg0hLMxJ3qGl+2eqVPq85JnaGlpj3jcArwvYJznI1VxQIDUjJJ
CTnaPFhZ/pBnBMuVOeedsF8XdJbwRhxtk+T9q17n+QmNdORrc8XM15CzTx66dsU10O3ID08Cmeff
g11426lZXuOGr5rTuMd+NiNYhLgT6TRkHP0km76XDbId+K3tDTOOiFBtrbtI02VbWOgAxdX4BWr3
d+OJL4wgKPYtCoZxMp9LpOgBKj3xVLh8qYXYLL8Zpv67HUxabdIkQlgiJeM/csxqq8huPb1mh+bq
y9WY97wNTv46lEi9OUxrTu10fHbnmgdGbzBLZjw+xsCBM1aL/mCnxbte9To4SkDtg1na22x00M14
SrXtsqW80jVdbnrSytDfze9dwjBxJFsVDROvQTKX2aiecJ86FgM3udGRsljRjuNXZ2dQ8YY1vPwR
n/QLt33en3tZuQ8CZZ0vga3dtyuwlGVeoBRefDuAd7qxGNS8OJl9b9k265Yivph63e2NwY2NYEqy
VZUV8UYnaWI+omuXwWTZyPZ7d2MuEZJegaqE3/QoSQMR5YwZfCT0MK71T2jdlYXbEAmQ3mj19b+z
dyZLkhtpkn6VkbmjBYYdh7k4fA/32JeMvEAiMpkADJvBsOPp+0MWZ5rM6iGF975RqsjwDTCY/ar6
6SCW7mguk3+EKxR8HXPU4N6cvklaUe8W0zbkbhjS4QiL3b5DFh6QkeRUsbKqbti4EOFDawgZBbou
V4RZPja0JD2OADDMiFUT8ymGKitynbb40WoAj+uNmvCbAvUD9+Zr76CUcLll6N/D19kSJ4169AN8
IvaTosYq8pnLcyyXWHxC85OKsXMxpvGylXWKHJvY35m8uk+Vl1nfRCKJpS2OF6L4ZP10UjDumk2W
U+i2xW0yfTOLoNiqum+fFpTOU8zieR2ohzqElXdPYgZrnt/524HHwXQUxiK5nL3B/x4nPhwoq/Xv
ws7N3lylHTBwmbvVVPPu3MxWkaqZRG91A8GpRgp51Laj6WDkq7jFYR2QLYsx7Pid6rHW6aArt8PU
zncViP5DIrTcx/7Y7UmQkU7mfR067RkH6VJLf2iInryxmuVvPOL6L2RtzCdy9/HRlH52Mt2RHW/c
eOeGY7IEet3C3p29sXhNrEzON4wJVs9Bqs+hAWhrk5pjDkSkCM8WXkxQCpOAoE3TNoSwxNwtJnpC
t0zdmxks/XeiuQO1ZHV4A/Gtu6OPRr/Utgt0229r2W3txtvmpctcj93V8hrSE1JLjg/t+AwHzgoj
zkl9uF1CZXsUl6h52GWS++GGvC6YrCAuvJcRBdn7kuRGtmwZO/JkDXon5EbUCG6z9qYEId2hws3O
03dQSRiWar9/wndFphpHhHEtqil7j0u32mNRpCyxXKbihGBobmUgk2DjOLkRbNpyLN/MeIofBv7V
44SOjFEpfIIWV7EJa/rPqqxwZqQ+cni3JDe6YktKW0hDC2o5lM8CZtbGNn3rwNQmv8ABb/a4tNIt
cxVKr4ylaDeuVu5+FNX4UDiu1lt3iUsSnTTGDlL0l7Ja+o1DQcGx96fk3lJ2PD8GvtT1HTO2yd2G
yWQ2Xh6RXbPYLBC9DOc22OBJsEDjsN3Mgj7ZAPwfnae6Szym8GzwQE/o9ijDtMSkTanhcoOF0Ii8
VopdsahKb220v5/9JXirWs8+drCr36wgK/vtQjGdf9Q59+InzpwYmKKMk0s2DPgIuYS13GE5G7eQ
fAYKTAwfsTyF+XwZOkMd+zYUj1NDIKwUjXFY8GFg55iNczNqddJck1uoY9mFrB5hOav3fxCTdb6Z
Ve4w+gOkiC5dqucW1Sp7F2KlqTnheO24HyHtLIsLYzkIfqsDlRy9vmQLLjoEO0z9/usiR3NHinVx
diED/H1rtcuHycb6ZpwV423OxyTYTXzCTn9eiLU/KHwuX1KSYI9oHHjhVDZGBP/UlpmTrTYiLSEY
5sSRazNmd0Ac7TDlg4g0jbe3jtOAMeM9vrTsIslRTaSUKyF3Cc86NufNvCPOh4+88E+GqoZtzcGd
oWwW7nVuWh+uMznHMtcK8YSViZhUsPEZ4R6yxB4InLnBxc5Kj5+3TcfPIjSGQ2E5d/ZEJN6s9N3A
O0GmNy2GqdZ8RA5u2Er1yYWmk2ACf+aMzM28Zq9CvIfNTGKLFC+uUiGzFGNdSRlbwWM8JuX/tWVP
Tzu9Xx6NjFw59dGACUevCjYMp9vIMA0CzHTU7+sYEboKfeOuw7NE+i09UspSXKccRZ7aCQB/oFML
5pdp+ptSnnONY+LuW9Ukx5hMmJO3LPw94hIUfOqnNDFvnXcDD51xfiBRHd4OU5LvZJV5Rzjp7s4q
sMib6NlnXAP3AdIjCbB2qqNeJR9A6yQj5LljLi2a4DY3Gk0GwMx3oogdXAnY1xOafzf22IKgLLO0
fDdU+97YQKVpTjmQExEmGvbw3Zx4sOKtX05zqQu+v77PNoOLbWkiSRvNuc30gc6TLT2VHy6FZruB
X4t06/RFBRwiEgIAS/O9ksUXsn7r9dab9Q70Xo4hxrbJ8DJPLkBInmXWwjttJ0BQiUklpD3/jMVN
skCe45mXOFNzqT25jvBb/yBgqEWwrrNLkST5PfMH09z2ztQHu0GZeLo79tsSBWnbrOOfKWjVKWya
AvFrWI7IFeZvY8URTXZyOJZO129Ho7EeZOczEVD6W5dO3RmUlUSTzamKrvttms6KyK7X8AA28rPl
l8PDkhPjTLLmk/MaW7G5yiiIXGR5QgMb8igBePg2dFTPM++52iDVXtlKPWdG00SUp/o3qWePUTMt
bBxrnNPj0gDW6A29rYb+ayiaK5KpvUml9Up5HmDXwXGAoekgGl07eEsnUW5wl1fb0CT7a8FBeCY+
6G7cJbduqjmFW169kzNoj3ObPiF+/YBJz/5vZndEeKR6Smvr3U5FcbKHyvlOWEpvzUTbW2WUr5Mf
2D+UKo1lnxCPAIquRjbfkyIIuXjlY4B9HOEpkYJ+miD+Oph9DuFuGDQDinl8bMQq6ZC9BmnBAGLE
7+YAAwG5KDjjTC65LDt8rFiwgKfabu3x8WK/3wQ67fB/cw94Zq7PVsVWcqHXgKNOvOWnUv4V3Ju6
Q/1jYy1yo95Y1DmLjWehEu6GoBDtrsc1drsirk/8A/9XXgU/LDLDVMCxeARZeg6VSdrS5eEqwEHE
ueqbQw4abYcrAXqAD//PLabzAoiRW128IhKTgBQdgpC1zgJXX8sc9lBChUdgy+3Y5WXCPVguO2Ew
gywJ3qSH8Sjr/kgh0tckWM4TFzyAFiSqPDGuMSVD1Mu5zU5iuEAH7fajDScA9GNxVi7jvyYk21Gx
1Sf1MJFFw7qmk+EhlDDgSsCZfTy7u3CqHmAmoG2Xs38CvGGh43UpzhGSIP5SGnej5bxlwmlvOvpY
tqP2sigpQCikFA/vsroUx0lyONNu356qLjGZXHT1xszd74qm0IfeANYHdBKKQj1/zRPB5Kyb7b2f
E2yQnf0Zu4N4GgNMEN40jxprSU0kqPWHJ9Y+a+N5ro58AMpnJKxrYAoZiZgW+kIHBnOWLLN22qRF
FWfOFdoqcLjFdkB1Z2PY7/xEoD4SCidGy/NRhEu9z7NZfaDR1O9u4NjlNjeW5RtWtniKxJwbH2t/
/Z1Pt/BR8sDTG9v3p2OQS33xc45IJB1lup2y5KzRznd2Oc+f7LO4tRIFuViK4K4e7fi6dGn/zci8
H4kWM0IRQva5YQz9gDExjtwMx2KkMnN8ward31tW6iy3Gssjgq5f1gemoCvptUNjXxYYgKLOhA+D
NMOsY2UVDGuqYfeZQu5xzNi4FQTehsjlYXDM4uF5TtwXdgjuUxMn9T5p5u7IfTDvPN0KDlfB64g/
bqPSynpKzALDaGrfBaKNP0qMVpEs4yACZ2RlW0JduXEzWmxqLgXhmU3TDekNe4hu2uNxqiNN3K0/
O4TDqEjvUCoPSTxiUhvDgigKs7C1lM0TG1IMeDrtEXdT5EPffdU4ym6aJgA0mFLVQTjDZMY3KxlH
6Pni3aun0L4dUZmfB/4AQaymX976vKMfRPmEF20G1BR3AFG82r3qLz5XD54YNXYHOlyyy6KQnbY8
sMJNp/uEHRN5LMSxDoQXbjx2Qqwy72Sd/a+OTnH9573sjgp/wKYxJnwXZMED/Kl0gkfUJU1Pbq86
hk9I3B6eA4x9yjLCVzgEyXc3TSRm4SROJqqr5vlxzocJowU3GqbDCUq7367dTRaPaLagpdoOtvox
sr0mINU8zARXyY14pF1yfPyu6scDInjzMCWD9Ua0rkJkd1iwF+2K+7ahkmQDWDd4bF3N85S1rL4v
FmN4M5yMwuu0YS5TLmFw1bPRveXKMG9NCkoOlgpEyOG1tR+Q0v3H0KA8AjteHN4YRmpRpENUtWuD
4cmybIahk0VEA22cZXVTukFlsWfENpC5reSmHGnbIijCVHBj6xAPBhP+jucJ3rHiRgprxiPkjS6/
dCl3mEwSckd5e7+Qs8VHOStrZzOGejaJO50l7u6oKtL5RwHP9D0WLRu1xaNbmUmHvk3DkJRuIrPm
rfdW053BUzfBisnDHqGbw062M5OW4KkxIvAyGr3RoKVPw0jwUMGovChRVS07e2Fe6qUeXzpJtSqr
bFZuU+xTJNudmOWkI2GXN+qWyu/gWKYi2UEMxrJDMA/3KqjojaHH7hoUpf2F6a3BQ2xUzyb7uwtI
gxEzKrt/xpk+UxojfZxTOeAbBWg6oWVEiWrLa9+F34xBiB2LU4zc7NKANy/iGg7cGra00l3WrDwt
EdxXOKdO4+wOZ8/wlxGGULF1QNhx0YQ+RtZOn1sIyldD+/mF1oDPKpjEbgCSuZfB/JHABI4sbNJR
jDkKYTgumZXp+dXI7HjvY8PcKYvkmcGFfkgH4iCDnkF1owoznc0r6PUhDPDUnsTWE9TCdG7NXhZa
yntWOHPEUWEBJwTijgdZ298HPp4tNnr4KKnNQ9Sf3DTDIMPDRkKspncUTMIFJRz8JvINM1bBTqNO
9yKnkjKsl1v4EPzvZoznDqf6CP4IKl/+GrbWFzthsXaNapc59rIiyT/CCrdASGfddhzTZNsahbnF
F1DvLZE7x9EpD04iHxda87CzuG4U9uayBgrvbOq1NoVs3oCay3sv6Y+xYR3ZWHWHYXGGrwY4H4yb
xhfbFObeXNghT42RHdTAgxpb10cZyuZh7JuHvraKeWPWAY92sR4E08K4CyA2RGBBqQwnVnZxBuM7
lL/+WlsVvUCs/5sMGYxBT+h86Ubc9Ek5XQaFb0wXvxdg/I9s/TeytWVxuf+VbH3726f+aPOPP4Zp
fv+P/q9y7f4H2vcKM2OiaGID4e/9P+V6RYcyR/OQoqEb/CFNY5OmoSQgQOymBsJdS4V+F67pVPoH
QrX1K//ADABnuisSFKOH5/LG/qxTFzZbqTlOh4vN0j6k1yXXlsVT3HYaOVcXiL7OTKg9G+L0N84B
QbPJs3x8dgNNFnbp4qeiDOKF55dtrVQn787SrXeZJL4Nwl/wyuDfp8PGwq+/r5as/+K0ZXmrcRPL
7WCF/T7sguzWmgJ79S0mbLyHZaX9paTIZte+7VDqopit2t4cgvI+z83qnq17/8j8z2J0Nif5q57H
8ewYOuAQCDHoC8Ts+JX9toFCHdThYwGI9FFb3asX5MupDcREzN9P7r3GXR5NUejHKWHpskPe/hJ3
yCij3Z0J5Cw4hG1YNySD4Ms5MAYz4t7PfcY6AXWkQRyuY6KWizfdN41q73GspG+kV/o5ohiDikGe
tPsw9cWT7zbpI9xOxrOmQ92XYVYTO+fRugRN+0KupePkQCpJb5zBtiKT1f656nq8bWL6zKdJ8zik
m/1IpD67NFklUTmU236FQMSAq+E3fClyWd4GSKx79toLYzIHank628m2GAIkRjR5DIewfu6tsAW6
VCR3Yy4l0Ykp3y4pcHsGtuHRHOvxMqVVf6koX7hNRUngtuNB/zR3Tb/PpzCPOi+3MMtNHOOowLn6
jTleHMjTx0B49od07PosQ9E9eYFVALvhFLOrLMXxX6cWnnDl9NcFM9a+Eb4BI7qoHqBL208dwPN3
KleKH7BQzWcLsYvd6VTdQc0wbu3M35Pm6ChqQwfmkFqF9/Qul1+o4xv2IljPG51l7kZ0y8NoAuQy
MFJ9b8Bf3XFKqi+SUo0otNcRmeTCQc81wvCbbcteR40W7Psow6ioDy7IPzv40B+qdjDzjQdmfjeT
4t6UZj3s2a0sG4rGPrASBzcVLI+DY7vq1tHY6Bhgkqu1GIpTMgfuXFCwuBuMUF4UCMdjgcvwiHGh
+E1WibyHB0i+P+fpkbtSUatAW8m3oLaJnMVJy66qGZEa8N5Dq2DU4rN+pURKcyYfHN3lVhoFbbmi
NN/0JOl5CHNzlzptf818xWGNzqThQcNhe28KZQHrL9SEG5vyQhh27l3QOBvNjO4wDH51n5lt90j7
h7XLXSL7bOiWvOSa5LTr1uySmR8y66SrgZlMO1YGlePgfE62lHAsQqFPLnu2YhM0giFhTFiFtJOO
y1eWEXWPOrUckQJMBMySYLBBbMQH0j8emE8qvMTo0jqdm7syKZM7nTrW1ms8+yvwTqQB7u3prQVz
vWbb+vnJ83IbClxVQC+SIqWuJC7P/YJwRljKH+NoMBp32FdqNu9kzPQvMtwKUpDBVuvVF8S+kALr
WNFC1sSsJJni2V/W34sVw4zCVE5Xe/FXHSZ3s3zLcNZ4ZXJC5lUKN4xhBbAjtzOBgrnIqrEw1jZL
uVGBmh4YhIk33cZVz8bM0qrBaI63ZbrSkRpMsEjtpOwna68HlZRhlIwzkMvdRKrefIrb2Zq9F6QL
1T12gJ+GY92U3O0MPQmUL1EXyJJYizNY+fikf/KNnSSP0ypKAdCM7ktJi17j7wIF52pv9H0nv88+
Q+L8ACNWax5ceLL+Zx/wN/sAVJDgLxO1l7rHF/RR/Wkj8Pt/9ftGIAj+g8UQK46DiOYDEMZB9l9k
JHN1Hro+tU+2hY/tv8hI7AR4iJNUDUiFI8b8wcLGH1yrFvGcWSHbhX/G/LXXB/8fbJZCCFxrRH5d
n+2B7/5qs8woM+gZD3BbV7FPg7c0xKOJXnSlmUHt60YGePoBhny2hh8/Q4AlIVBW8dnQWXxuV8Cd
X/jgME2vOiAbMAwE2lBugiA3ngOFj8ZPWYkAbXRhJFI53YkKRKjUIDTxRxWvDqP/nVpRhElaxtfa
dPCEV5bP0L2xdSQSU4+Hjlngeot4Tz2NX3/jAV1Nrn/+BhyYVezU8Bn6hJV/McFiEtNDzep0mrSY
7j14/odkhvhpdd36uXjff9gq/u4i/F9MD+/rjE7q//O/f/Gc8o2vSHYTMyM7QI6Mqyn3D8ZWyxAm
M/VcnUYDcCSEgc+E2fCKdM3+5pV+iUyvr+TbloAmD0gLgPovn2wBdru0qVecxrhpt5aUOCswSh1I
52ZPZBycA0fM+PEffzx4Xj5VoFxMuP/Wj/+Hj4ehph3LCu5P760EGqPH9oIE77vbfnKJuf7zV2N4
4QUrN9vz12bCP75aEgZjVpWSQBvLYn6tdLnsJ0+L8a4vwue/fi3xS1Ha+n0SveBFfNv8bwpGJ7JB
KTns7NSkU2FHdhrD1m8a8DyBFjw4CWHf9boXlxEW45HQFtyUrPXaf/yZcW0HBINNTgnwP3/5WZky
+3PZ2/LU9DnwV8Tqduslcfwcegpi4F9/6H+/hlwTZhqnG55bjmP90iiom7CwUbzlSYlleagD3W7x
vPa/qVTl6WluM4AwfhXihvrr1/33u8Q1aXWjlJTIv++ZvxxY8kSOWeIpearGZsBCya852v04Yv3D
2PqPXuvnEY1EJ099fl5h/no4cjJjpMY3zIBRNcmWiRtbH2Xqee0/sV/++rV+WW//dRwktO44eO6d
n0e8P16wsuw84NJcQ8u8AJGpY788F5k9iO1fv85qPP7Dqvav17Fpglxx4lyu1p9vDKxArWYKmpFn
dAdmZyMlmhtnZgoXD7b7lGYZk8xJA1JjLsjcdGeWSfqvepH/r4X/l2tnfQ80gbPQCQ8/JYHCP7+H
YRZ51uDcPMUDegMyQ2MBzaL+JKZwCuRYQMmkZ89/s56vp+RfP/qKFCSSEdg8Q4NfLh3ctkO9xBgw
Uvqa3rT0yjPW7flWySo9aFsxyuuMGrPMOFMLE8GwnYcT8ur0ndRJA9x+CMtzHlfxkZoakqUEqc/x
Io2Hv/6F/rv3ubrbqf1gdxACcfvz18P2m7m3bxhHk9rAz3nuHU1qvgj5iQpv9I6VIZVP1YTh+9R6
jfkVVZG8ik3l2qnPa+cm7GDLTVlg34aG1/p7ou613MKw8ofDX7/Xf79qA5NvE6+9y47E+/WtUvvT
1TigMnK+5kwZaxIwoIZG0O3++nV+ueu5Yghi8JP5PhEibpBflvPMsPhSMNme6hEedpityF0kW/em
aB336a9f69fl/OeL+X5Any2AkoDK+j9//3PQIgxOkuW81mD8gnjYImf0EZzGfI89iqMHMviN6Cf/
3SgrsE+12/3NFytMd70T/3ynBjbOFHoc2BTwdn75zIVWhsWdER994vfzyf9pLe3CyVanBDjSg2F7
5qe78owzoofYyVQqE/45h3DmlVCoQTrGZwTy+b4bQuhAzCUVJ10YHyTI8xKDYtrG55T41uNS2PGP
YeqL12AulutSkEACtq29J78BW22VgXszYKRUqyPHenT73HvyUmUeO6oKLilFpf0WHolBVH9cHtBF
7R4XTjrcldrsPgpmx58Y1uNrayiwv+iD8Q+o0646V2XDuboaVHxcWgTBvfRT5Fzb1+seoc4dtBEQ
nR9pGItvbK7sl9H+KSIgbxMBh7z7oxg6h84k4AspsTKZXhObO9txWVqEHrLPPmXxrtsEBGNtBBYw
AraNEUQ46CBjFiY4OVPPOYyYj1tGvVP7PfBJqFVIoO8BelfwCPaX6427P8n3eR2iYSACGQ+B1bJ2
mm3vvy+E09AhwuTqr/9t69a8DeZXzq7JRqDJflYYz2Ftz1eeM8Vr08zj3c+vN/boLrCq1HxQNtUw
5Hb9At1dJJ59tswyveZJWJIFp79B7QjCsFr1Yr4BOcYKxSTL+FrVOVdkbeKQiKgSXo44jfnuZpKn
kKZNM30mAu289Rr1MbIS5md2jhN1Kx3+Dg2o6dXrFINuWFef2gyBp8RazwnpLVo/NsDF3SeZ2PZL
UA0op4bFd1sC9v+kGMvaC3xBH9JtqFLkpgGMHmfl8uCOoPtomtHTvTk00102O0O69R2RfaVwnaUJ
ms2rmE2n2NnrdViONZT3Xo4I2GnQZdsFH0G6FWW97KuBGeXGp6XuylkZl27M0WsGOD4sDziLTIJ/
JfucPm2ZCUk+AO1ncgSH3HKB7UwQyx8p7ZPHegq4eoG3Tvcatmt97CFC3CL7GM9emvOFmYkzX9Hl
5DkPil24APebtAMj1SiafSd9cUwAhu2aNnYjpDUNPjnFyxfo6mYEshIBrGJaxdzqKuxqOfeN6R0Z
8sbPSefvaqfPPxqvyq+kevIojl3/rlz8Q54tisxyPB3MTNrvTAjoRURjMDHLkNLpbYxd0xJZnPki
4VWAU6a6jByNWT3iW7Vew2y4y5Arz1KE+zRt7P3YpzXABJxRqdGrTV6OjJFKPlaRBzrC/Vps5wF9
z2qdGO3Fedd+a18pELrDuwfrbrDhoc6BE/HAodSwyV68GHbl3Crrhr6lCFOFG6mO0U0elmaUL1SF
UP/ubUPF4CcL08c2nT9DZX2o3mjxiZc2RWVOhScCzodhBl8aj/HIBq0Sv84U8FTrlfW1tJ3zYgcC
qy5DRy8b8bZ7z8MQ39SUJH7p0JQYbc3TOS1KFmBn3SPhAL71MtvGedY2DwI8+dkY0PyXxbtgt5sD
tXFK6bchw9KGdNRvDTLrcRY1SmYVDzFWucSWZ1E7tdjQ+OpfejDAFjUuDtn/YbaWF7wT9n4aC+gK
HfPqm06I5o6NkkMRG/0F2xxR/wXsffLSW+b4NNcu+4e6hTy0TrLnaw7NZxeXnr93cuhNssz0aYKV
d0qbsORF2UVfqZ16DNxxJAlG0MVe+n63Pn/czYTjKY3g35X3jN0WCFIQE06O4bAVsPIafNPMXiTH
R1bllddGHgAeliJSJ4RleSL4SegfleTo03P9YVWZq324mM6hHwdHRVpZ5V1rdq9AAaHHjKQonWYB
9ZkUdSC3DHkduXelVcKrafM9M2f33uyndu/5ffLWyWS8sYHndlk8niWkGQpBUOi/QtolKO5WVptF
A+vkqQp1eraJfSSEv4P2uAwlF6Zk78ARoTBgLmp/V86a3DNILLPshvfewR7TOVMOB6IS8GhK13+b
xiWkq9KlSBXy0LSJ6579GLyvo8LOcDsZjfegIYdEdl2ryOgaH1TBGFJggj6P86zXvykrCHYKu+W5
6eyrXzrmNYw1tBcnFBfHBeQDycI/9H4RPtC+RZUHSSObw79MHcYUWjwbGRQXQc31mR81fMJnsWBE
jAs4j8bgfJsw4z74mCxPiP0tKTOy0YHHJYBRDL4lfaiH0SdL6gUdyJYgc17yua3v4bXbmzIW8hTL
xlrLGbKtXQ5RM8TiMODNPRthdfUYH0RxGVr3mFfp4Gl8+xImCWlrBcosdhuxLYOxPhTmovbF0gYf
yMJVxEJDv3E7ZnYUdDXaew6WAGm2sgoaX4ghJm2c0D862be9GdR35gI0gZY6nLQKln21w8FSoy/K
oTgUeeW/u7nHEKdukpvJcANSU7FTnICUzr91HMcvtNn0D51DmI4MTjhgTMwrnulYRHVU1YN7y4ld
HfLS9zkAiPpciBnC/dCp6yjL4l55bncXtNN0tBuE6CgLEc3RNk8UOhqbAcrRTd1M8VX2Fc7AZCg/
86rx4coQTHhzErfZe57Mf4RuSeJf+ao+GX3FLAmY1qvfqq8lfxrWZe0UUeguEB3aeBk+TEVZKotA
C0NOAVfh4Wp2UZPivnfkQo4jnmFH13LHL57t8tL6NhrgZjOy5jlwC7vdVUkyX/2wrz8ZMQ9QpqRB
jS7PwCa1QaCS/9rS4tPdC3NoP6XOWbP/hTmMQ50DPRz+hUCkI3oFIoIZwXxvOqRKfqTkWGBmoKRx
Y3cVx6TO+NF4aXWdXGWRsXH7FyOJh08M7MF70gO03VTkIYrtBIPH5bFHCS5+eCYi1dHwCGpZFqDX
HfEA2n8Qecy8JPAVrJEu2YCpBlsiInZRyS0DaX/brQEw22rik1sXk8276qajU0nz6oy4Rul45plB
G9dcRkXfe2tNcJ1SCSAbPPkkyM5Cl6rfEvSpWc5myAkBlgSAYa7Vn9wQJ2gkmA5xXRYhq0+7GM/M
/c19mJMkVzwUDjbxhbNCP/ymOBtxwkhxA8AX+9FQn/41pm+PtAxbnGvqKwtym6Wno2fa8evsWvaH
YSnjh+X14yUO5uTZpegY5B9/dnKm8EVUGQLlmsSL10xeMZghgYzshY1xTPzKMym/bR49+xWVn0Dm
GuqLSfcZffkK7NTEj2k8+hhz8J1WSwQ9bE9OD+LAGhF0crPESAtt0/dTvBIVBsGAM/aGZt06CokY
5oXF+N5Yc4f9mkCc6YiwJirFe4KJEHzDA2d5B32K1GIu0PEwPp2tFlVUZFiLS7KNNNwmEeh7Y+vH
XM6mnMTN7BIPXcQHwgHBlroPDtZM8rZck5KEd6anxoOUZZFQucpq+IEeY2/QMODCDIN1hmVq7jBC
TeBL5+IYmowHrGmg5kPp/qAwAAOVRZ7ijM9Th43Q2elrZ9fSE04hbtdeyGjJS47QmkMF2thsuEhK
TR42pulu9ExBrm/yjq4GFmOWAz7/BnIzKCoeEHV8P4nWRD2Wah907W/dGjxVRr0chJfVm7IJv+JA
Kvd6Dat2itkBMeUTva8PvW18ZJ6D/ZmciwnFvlpjrkbzPpbLXU/HS1d7L/RsXVlyGRit0VhPLz9k
k7wKMrM+2VnFbpoSZpCEZjYeUMPhUHThp3CxPS6awuzQEO4LqVq43rX1SW0xGyu667ZBap0KQDfb
0MIn06ubKfVHcn3et3Ig6mv9TP26BieCZI0DL/bybSIj7AHD2K9xkRHv5py8mapN8NjrID87Wg14
+VGh1qyxWHZDk33BRNIe+y69uM2LSfLuuQkainQJKftrWtkfUWd1M/RfDEsHuwmex3HgDHMhQWoc
EQnX23w2zy5i6hevpeckKxsPlhhNzaes8RiPjnI9TvhhOh3qUbCFztbyqkV4y6UbXEPviZ88upaH
v93zyQwYqmCggzOpDcyDNVijfdMFJezBTZMO032BBsbfs5pcfuD59SiQkSLuTknZcUX7pK30hqmm
A+nGlACOoPbglcvZDx19u/eN267vwAq2mNmajREyNPXakSMntM1I91b8HiCA/WhjjxuQV0VicOEd
abYiHKS2VlBzLEq47PttzfLCnGnVNOa6j9/7hANCbDScMWrLvZHZQsUTz7jXoInnK/BqTskZRJBu
bjzzVhpuNuy6tVuk7H2WpbGVdgSUktMJeMzhN7lY4530ZnExRU5mNQGRnObUuiRoku42gbn6KFq3
2+E95SSSLIP5Wdej5167dFiPvGFXz1HqqvaNWBBbh8LwzIMSNBext+dPw5eCmV5zQN+6c0JnofA5
X41e99UrSmubabZ/GydV965eopy+hVOlEhktPPJPVt7yICWgjY/PZSjQcsgHMsaMYFVqfr7eoBxj
N9eePsUeTlzOCcPBpPnmy89/BVSh9Wh6HPt/9sr5rrscLQqWPtqy4wxGxw5TgsAe78aFbY/BYROt
Z6m8pzDny4TJ5QLa7Jr9z0ExLExklKkOtn3O3Lgo8R9vsiwNQejwFsuU2hlv6aqDV7rtW511fIBM
8hdZR5aHlsHLvZsV4kvZm/zqVU4RIPZQfdJ4ku/zif3uAvnmuOQ9PYAKTDloSj6XUzILVy7HvmYA
LI3BRDYHtmqc7XvyH1RD5/GYw4BiKsLwksUAJg64Tx1i9RrcBqyyWZZc/zQ+XQCuqw+Gfxnl6ZKJ
YrDchFq3ONWKkJYsnh3YuqoEb3CX/yd7Z7Idt7Fl0V+pH4AXeiCGlX1DJskkTZGcYJG0iL4HIgB8
fW3QVpVEyVL5je3Be1pqiEx0Effec/ZRyr7IiJI7OYZycGVNTMgwfZLvOqX4DLjvNHQcG5lwBayp
I3WxySZsFi1+Ggktis8XVcGbhhCPpghl1k3Wz+ck65myMW6/4VoN2GZIKHJpUr4j/i7Nwii25dyK
a8HlX3pjoK6mTPkY2ONp49rcAZ2NsX8h5PwDM+yLoSm0tcBwAfyvpJ/vEZcwFJ7+QOTTBIHVbvZe
Mf9p2XG2DHfghjUsb7yU/KD1ODXCWdVK0x8iw7Fhv3RgXOOW+x6jPYl1oM14IueCH3JT8DbBCDnK
hJRCa+KHJoNWPtNKLEgpKUwJlX4wLoShgoOMgvI5iEh/nJVKFVQjHmHb6plNqi4gFcMon1PyDvBT
DJq1GFuZ6RIXfmCcKQ74hvgqaH8F+DLYAQfkODLyNy+oW5pP5JDyF3IoUoe+5DTJlrw+hSeVnRYf
3GzT6I98yqtn+NkceuhbeYAxFew7Wq7EG/vw0AksWIY6Hbmu5t+JBuIXL9+X3mnx6hkxpUdXvRa6
L5aCYd62lU1w0DuuTocR41M98AQG/SjoWBTY5hvZrcOSmD+LFvhllRNf1ii0UKRBTMYxC03jqgAF
cnAyi0/eUfk4q4LX4VZHVYavo+ESO/NdoNDlXjjoQGYckQ0XEgtjg0675y7xJv0lJDP5mVGkVhKu
VYmtVzZOsCqpTje9zvsRa1KxJTVeu5soCN68gFB1xOPzPdjo4OI8jMeHODRJsfOJRd2hRvRXEIUo
+3w3kp99lzoZf5IxPLSgxZ6GOQ1h0bIhb2ilovOP2FawMhJseGG0sjhFquvvUK/7f1TSDt5itNoH
6URoIUPFymTHCu+e4wEXI4692UtRB4+JOyfc4VRtgpWHNUqusir+Emf4r9DhV0IHdARfNc+/z3/K
nl+e829VDu//5IvIwUaTwAjWZmCH2oHB9v+KHNA/8ACZFtkMpotJdp7Qfol/Ig5dZ55K592yXapo
5kd/yR0t/TfTRK3IBAmPxj8VOXw/vUBqOX8KWOQmc4wPHfbEAHDWWra24yWAehzrLd1TYbd3X52T
Xw/2mScwapvjqjganvaPjfzJaCFFTCD/28k27tISvbRFoX2VK6nlvxhZ/mDGJZBuzNoNpqN0Z7+d
XXAtwGlIK5i7XOKKVU9eugS2HaD/DFTWWOt+cUBwYN/NKTwSINgBG7bP2143vj0k6nsaDx5hG2hG
UEMGddldlHgjSkhwOZwfXyhxr9MEMTd6H0oLF1OWjFu3VOy3ayfsl46UsOkw36OGTuJmN2caA5IQ
DfZx8J0XtUB7gelEbNXUxNvcHeniB0NxGBsjv8nSDFq41nS/G7BRDkISVqwFeXwKxi4+odZ2iPgL
GfGNtY6SNWzHdd21+Y2p2dNnwfJ7H6U2rYEqvNT7MQakm0Hqqcj8ndjhXDL7dv1llFj9jdn2+Rs7
9/JqslTyu0nPFuUr2YWIOwvqMRo2LCJqp5cBse5TbQL9xTXf0O0nVmKo5qDf9ugZXXlqKp9Ihyy1
nvUshMPqqhqTuaZ29Zghc6MuDaAbaWb5isIxh1ubDzdo2amq9VrRXCQ6BgCFiWY+1YSiVR3Rxq0X
2FVC1T4Kx3TGlrlMhbyz8OgBqYD7fKlHJfxA3cqLl77xqseEPfCnRKTmWYS6wPOntyQ5Y00EayQa
DzkdjAW2HEk8bBrp464jNjV6SaNsZi0Wdnaloy2tSLIPywvGVD1EkEIxQ5qyJTjXZmWaGfdegjtj
YceJcxVbbAaGmC7WkIxneqDuujX05jFH5L8pB72DJuKC5B4wTP3R5Hm0jYrodZzxTiF8xyO6DlqH
xuRE+brl5ESIRy/rLCdoyzJJhSzi6YL2ld8uWjzye7eQurZK4wT0jgZYy8aqCkNAt3dSFe3aGuP0
Qk/C/o+wdbuX1Bgxd04hNua11sXiwCloV4RgvNZdtlSGak4QpJHte9kfusWySoP0GGg4PtI0/F20
7AVrFsmtht1nwbhrYD6FIas0bTKGgtjFr9gdE62xUfd04Ui71k+eGXxC1dS8JwuSMrQrF0MyfuBz
oIgHdaP2mvVbQdrxPZtbm6eHpom8BLZKbIAhPw/AtzdOo3WXqVlML928JePKOi/VkKZXsSjMVTp1
3ZlxOzOvzj/XtYjXvTM90C6xTuaE3tMcp/aEFWRaK0HAGJ0jtIuGkBjl7ZsCA74HbcncxcQjSVTd
oYzGV/ANuPoC2fflyu2hGmUL2u0osqc2kas0zFNnzaaLPtqY1ZSOvsrGYU9TB/sIweu1rtNrQ5l6
n7Zq1kNjCmoV5hytBE46koF3ZzeJH+LLMsB+SHXnjR1WaCQuIdXPjHjWghQ8rsOYZd6UwKXGR+t6
DwMGOn/jjanp7GmGtsRHZtroQwZpY/SulJ3uJkzVFJ5l6vA3LSJvw5NbN5RgZd4U6joki963Fvhq
2+gogjmTfkGgrfNoVtEsWtKLmf+umkGY90mvNGdTD8Lx/gD5yoWK4EhphxTIaN/cpnnAgHNriDZ9
ZNqZ3gqZx9tGL3gNl7nn7KTObt8DeNaQl2ACKlE9gz9nkOyU1CQVGGGNssjpLOugTBjRxjA4OzPX
KPVojmOVQrZvEMKO65UmyvzbRGEEt4gG1Ktr4jHHI1dUDB8s3D/ZwHFprY9Y0Amvr1q9OMSDEusO
ihF94hrsG9AZVR5r28biSWAvBbnblqRqxcXaIaKC1hsBpQvSepA5B4F4Ghp+VZP5eYvjOYAjgYwP
I5pU+c1g2dVn27X9Cz4ISeCpaZfHCvD2tOpdJFNrhPvl3gfSekWQhPucIXWlDs6ksQlaL7/B/4R/
K/VzPpvmVvyZo3X5m+mTYWzRYbpG8e5OKx/p7m2YRzHDabYRkMfK1MUdja3pfR3/dxf4i12gSaYd
4oS/pzVexvOJbeJvbC9//qMvG0HyYAQRn7QxUbqyg/gidXV+w9LyMTxGJxnUMBAGYehmXzYf/Mv+
z2VriBBkVoCx1LC3/Cf2F8f6oERC1+WZhq2TP+pbnuV81JU0hpvUPcHMB+IlQAFnGRqhbmEngQlI
ybXlox7m3klznPLMVL04MU7SMJXkugFvqE/Whhfrt0mXTqRnmUN6xfQaZ4arFdSBXrOFt28duoJ7
Mkc1W68cH6PLogyEzWApVd5mjJzoKIlzuYBZDQAB59dFxdvt2sMEsM1Zk7czrm1rpxkZFHSSghUh
wO52iqNmn9qWe9m3zBUm5Jza0urJ5VrkyjeP3lCqJzrFIzsDUrCQJPZym2gm3cCiDM4lzzf6fU0N
+55WLjTIZy/NfNw/TLsWzeB3a/5CCM7bHTZpMLhXClYj7G1XZASWENC1h5xu7zALaa8zsufNq8gq
sJLC35dMHj+HAy8rQDWVcR1HVb/l/dWc7dZmUMjElBo9TVgHGAJ8TnQi8qDmTIsqQwLBmyV0T6gU
wmNbTRrrTAg8nLB780S4fbEf4xqU/FCfE2W62zTy5e9R1XW3Au8wFEdtal7sgHlxo6WpIM/VZoDo
hsx7p4II5t4vyPdLPQyAtDX3kSNmaINpNM/1OKgeW6P65NIs4CQX2Qv94W4nphjIjx3Hr5PeZxex
3lxpU+gc0qarDoSiTYSN4OUtHK/deFAdzBVm9hEWxtibEKDNMH0QscBbwlnq+Wm51m7MFi/raHgM
cMvc5YsOoNFaI+gviK7AIu7o0Xaog+yuLOzoExw9JAOqqEBbjEMJpM51QByQs8BeLmKLii2Je29f
N9hqepKmIV+WOiGqWEmDTTRLpbIQqtESuEZEPrQ1Q6rFoN7iBCcuWiZ2TTTD24nNd4QPxMU5Ytej
dxE2wJSdaUQr0Pj5ZdVpyYWpWcbIDELB4y/t0SPGhOTo+4AIU9ZhoBgvsINtZAeVA5Uvg7xQQpna
TbD4oDR5NkocvzBOU+6IG5Ic2XLShK0ids7RKFdu45yY/MhXAtvTvd6wBik4ANBp2n7c2oSXH6ep
c1EJia74XZRJ8KABX9EOQU1gyVoUnoHfB0XOjEzqgWAyTVgTCmM8dmTiFsSq1f2NgTmaCQJIFlEp
4zmldyCXcuzGc8vW39/ZVqoYqYJs38Xm2C5EbuGupJ0X0YcLDOveknp0rPXIfundWidyx+amXXrN
lO0qwBRPiadDhHCGUd9jlhJ3+FNLRtYkxuf0ZzMJZyVsy40fFfmzE0bi9ya2XzSdZBm3aiwwVe74
2amaETS5YZTFOvCD4oFdamsssybpPC5W0Tx2HjKQxeglMECCslvlGtYaBB2OuIjMoVtVXXNjtMyO
FphrunWjg6BD0m5DV68m4GkeKX2yb1eDXcUrG8MvJJKuPqSlQVqM3s7EvSjx50Ij2ZaAmZJFY43e
kqGnvpWZHZ9NqTnbMtbTAUJ0FxC/4DX6o5lGYj3BRkHIoSPJEWS/JFsUzxlprFZ9gljYZ9hyre7M
6M7mxHokpLNFr8dFbTA65mUWkLYRDoVPAaSqJ+mNVbOzNZQDtS5CpAX62F7ZbaO9lo5HS6s1Enk9
1swiknSKBGVnAlNd0PPaaCCunlw8+p8hI6rH0S6MS3D4ASQgBZ5wYTnUrGzOrfoqGkVAZoZZ5Ss3
UsE+MjVwkoZe3QIXqlZ+KtSxcSGE5QS5r9zCO9jV2BEdXGQ3gsCLlcRcvwfiGRLJaddbDPl3IejR
bdsQcRtjtQCJAzzJQ9czFkvRSXdd68P0x2TJIV9LgwSf0upz5koRhueM4uBqwJ0o+6PNFrrokP2o
Kv6ETjYrdqNn0/d+8McUK94iaiyj6x6Q+rXJFbQsbWHOZkYDvPsGrVVzdvNMP9OGCXFQCuyPsxFS
huresYviXINRPveAGswFFW1wD46jeCC51kcl4xWKVGJMloT1sbtvZ+ulH1fFLATJr5H715t2tmh2
cWqfRJi3y3I2cCbvXk5jtnUO+Rif+tnqCcwY16c1G0ATofNx3VRj3jP7Q9vZKqreXaPGbCCtZyvp
NHTmJe09/KXNbDW1Z9NpMttPw3cnKkGN0Wdr0mCyaWGf08qvy4sRKyQRjFV1O3GPM2bK9Ncqricc
741DnBIWxiGopye0LdCJphoDSWhk4yaxMaYPRofWDmzjOoVvT7pObExHs5u8PTq5cpmr5LrO+oaq
w7SughLxKS/ZNDijN9uDAsICO5RhuSwm2+NZ69F1TF5MyJRb3AHEp52dTM2O14W3TepGu0pTCrq1
aSrnJgP3RmaGHRNCoymNnsHAYMzRu/EwTt54Q6iU2opRiL00+va+CUoCPw1H7mYC6DgTL4GKVKQC
cIlCiXYbCNgKHEGklr0l6htlQY0gfprwZajV0COdWN+hP7CZi6LLnDwx7AlbYzJdgVYvhP+ql7F4
NVrLBC9Mh+chJlzoiXi6dN+WWrUtrAg+Wyx51XD7RSzSdka7l6g+bxPLJL0OBFuQyvMQcnWG+2iC
nr0yR1C6XTS/NEF5mPF2UsqZ1g2e4/K2GMVDTLI2b+yIqJ8juaK9sdQLn0G1RMX2GFPy3ToUU/U1
yJEYwKInSGKasAM6JJMYNWRNt4tZx4j60RF3IdAjJ6pA/3NRmhPoRoSg8D/8kRxXFFkVcPFlVBRz
wHWobibDLJNjh4IoZ8KqRQ9OZTnxs+nyiC+JLCLQtKH/FAIIdvH7uZcGxRjJp+WfOajcsiYjP+/P
jFRyxh7Z9g6f0lQrXhM5INXreu8OI0F1qOv4rp4TV/M5e9WrWxyQvcwJBxnOLgGtvADfbAJbk859
nLsqLxbYOgQ0c65r6/SP3nukgOdn1/DE1srOtQsuDhyNORm2SLv6zZocMpsYjsONVLXlx8T9xtmu
QVZ4YzkqHZd9b0foWEFshHe+S5pKPpnMnFBYMVQo1ZxV+2/1VHRxN/6iegLhRr3z98XTfzfxVH50
Cs7/5K/SydCpnShRLDxGMzpgbul+IQYY9NdpruMUNKD86LOH8EsP3ZsLJf29rnn/E37glxrK+A1T
4WwURDmD/8v/JyWU+U6y/0qmrgtiIizsHDgq8EFRcnzb/s1rD85b6ir2rsx1a3fhqy4niNB33FI/
omD0TaK9aq+b+i1Q+gyzcudbrrFOC2yAKPvsbiK8hta5uWZ706DOo/GAR9e/hfwKZgVQL5w5o19W
CublxrYUjDiaVCO8dqU00uVwKeVy3/QZ2XXEgnfIvarLIhsTUiplTDNQYA6/cIJkONCSlohFABBe
jjbj4MSqEaFr7oPWlnKrSumFS30QK/Ksq4skb+k2JwP1m+Ok5h2yVFoRRMnxgha5StHyNFKslVXX
ihbJRMvbRdt5nlLpPBN/SzcFJ6C8jPUoaNZm1NHPaTC1o4C3Qj3bEg+TbQfZZEzsRIkYJA9r70Qp
I/Hiky68rTWtnGnTY7clcRmmtZZpGWWVne4qZIsblhMPTIpW8IMLqla89jKQV6YTFI+dGo2zQiQm
t2UH9jNqW/psOOdN+pIhKvw2zRsQKrV86Bp7vA+m0iPcJqxBhjCaZ8oXNA5f1A703nwIIJtcKMfI
tq3pNmvbSEm2IVvdYPfVXKiyNMDI255a664FWZRF2tljmfTuRUKIKEhw0YIYt+tuE7WIA1D/GjaI
cTjnN6Az1yYNpHxrdVmwxC09TDCJ2efGLbZTpgO59BY+cLVypfdgnytX5rsakc8KklHvb0yl1Fp1
uLHz0JThZjTR0C2asAJ9w/ZCMbqM9efJMWhBOTyNVLSzfAfTwnOO7gdCQ5M7274cqlsEWtERWlL2
QAL8HPUpISJXWtjtMtKY9ZXZoNtGqroi/Y3wYxhT9bKKMoz/ujEYEkw8YvFRhgPh9o24Gpy6oifc
gAus7fCAiWGgxrfy9NZlsUSXF/W0khOt3EMQNvdd7rH5JMz2iaehkZDuDfES5BIw09h2MiVqrjbv
gizu96rJvY2ZSQ+eVxG0t74tX3E6arN0e1oFfgOCiScAw4xXWTnwq4GJcOj6xkXuZvYhjRz/cR7J
bMmTcdlSt5NhrBxpssDQXbRWbVDfOXbWnGpfn16yLg9W9EnGe8wF+S6YaGsuNU2nbAWhSrRjpbVX
I9apU+0kyCg7yLMzZAcBptOm/sqgZfC7GwJlRTSJLgXu0qeOtj1ogy7IzqkNcrid0mpL+MS2K33u
Qy+waX6in7txorpfjtg7xIZ62FS8WQIjIKbAh5vudNVVkwdi07p69rkw0nHPtKiEulzPQU6jQOjd
vSZ6bK8sMCHI5GJ7B3BSEDVmPmPj+QRikCk1NothJSQAjnRVWw7XESF+TevCvVYtYZQcNnXcfmz+
XRU//39WRcpLl3Hs3y+L56j84/N/7dvsufjjm77in//wr8XRM34zmN5CFXFJdnnPbfmyOPJHFLe2
TtuMwevXNB0TDz1Llc/dPo+k53bkX0ujzY8DiGNguTL47X9A1mFf+2Es6vOfRW42n4HPRXzTt+ti
jVgQUjFNBM1rC3DrUYkWyuzideiLfB2bzoPKpbyk8AFZ2FcPJNVqe115J7MkSxjRdpQCp7fzG2YG
xXXW6/dOoIfsz7M62ZQ2Ko+p16x9Q6zk0h41b8OLlmej9U4I8qCFD8Y1gQjNs7DyS9DSl5amtkFX
BauuIX6iVznwU96eC9nEb+g94lPOeVzWXlUs+qKsF7oGPothE31CfTqWQr92qQaQt6jnckB976TN
erQxzjRd/NZmMN5zKxzXXumfPGsgqcEDsR0WbyItgIbKcwC3iyFgv7HN9LIfp2sb0rUe8reahDjV
KH4eK/SvZT29Ol16YArwyoL0UI/tBjh/tmzyyPpEPvwubsDAz5PKdYlyG9m9f6Jv8JDK7NnTJ2Oj
h+qsN+nlfAYYbPgrmqdvSQWCsA1hzVvZWKKtR+jVh7w9pZJ3oaXOPli0JVKFEF6WeKXMEVsjsndo
uo9pb5b7KcvipaZaTgx6N8SBBzPqzeWQDviHxrOq7IfISg/hkD03dfJMtvjJi6zGXbh2u7b5QoDt
CO8Yr+2Ma0XExqYWGMk0Oz1MNuEpQxfxxjYZ45glJ8qMGqxOgPjIPNCBt6WMXnpGUQheIS6G2nwu
o/y5N0ZC3cYpXZCPyESRY6FhHgmCmHhv6dedCWElmo6GT1AyUaTHyqMVJdPozcr4a44RX6bpcDS5
ODtQSS5gHL4hjb17QEgB82o3W8XCYobaciD2UskqIkmISObkUI7TfWPXwSJyhjv8hqthLOARUwqu
CF19LiSDpcwc4NlMRxaWeJlE5JCktfcQD/qLX1tXQsXG0lXGvGLvJqdvCG2Qd1Pt7OK46rhRrR3t
d7A8us88GYfAou+no1uOjN8g0MDyQdkgPO6EgRkncUQEBjLUui9C41VYcBlzwuoYWGYH4hXvGPFh
hcvecj1BHezSMiOs4c4K8C+lcYdhwizpXLlsKA2yUeHkc96NwmU/Zj+UdQFg3HZOlWN7m27+d3PJ
GzGqJRXAfYi9Zty5A7ejZgwnEI7VE6QlgWMnIkmUNMAbMsAZow0hIMraxkHGJm9Xe6M81KUj9y2Q
pf0gNXoC0Zhh96tymhrViDUxkwgiawCnWma9dkb7NMrGvTB8XH/cNSVDzVVDgmeyEnltrbx0Us8B
Ui6NrZ6ZuVv2XMU9sOl78mGYik02Im3G+jErZHCih/REVw9t2JCth8gdafrFdA7HZl3bQ2TQy8ZL
AVmuCQ8+u8iF69WnTIuuCyxTa3Kx70uNvU/bOw5gH+d5KMbmtSgQ2+FRjtaZW8MuGtkkzLRRYtdB
qI7ou40Owm5YcPtPiflKGBSTuzqnmS31pTuYxsbyCHfhU5A8TeOHABtDXw1QJa5AH/TbAScCEwTv
wdNcOku1wkbSvGmqOdpuevhq0fmBduejnsb3hYkQiSElCRGUWR+qmzhxbXyJaUlUigYVra87sIfD
KXbqyykw3D93A39rjGfl+cbyOx8NIAdKPTQIhv/RTo3iri/c0St2IY/6it3MAf1EtHBBf/3iSLO0
6auqzeZIluX4s/ZJhyLzvnp9ReNQ8GethOxV0nrSZzHLXufXcWIo3FOIJ8o9v9I3Pz+XH9ED78f0
WfmpO8lS+cinCK1CRD7Wv93YOdEadeQdpkyCti24ihrOwvn7Ztl0bFrebj8/tDXrnr77vgLJmOcx
mPTsD1IvsmXVBNGl2LU5NOmkzH3EpASs8bo4JmWS7nQxvKp2kJtUSXlIJJmljSBpqUHsMO+Qw2I6
ol5i1bWcnRA4iBOaJhjejsrl9Q2uByYtjsq6TC4Lt9nkjjwPeXivI1VZuYN96hF0LxnfMM1nZPIY
EvoCAZbXw8+/6Q9uIVrJuglBYvaUf2QrmLDLcxQnxS4y241d6tek+l7nE+z6XxznR2fUNiBJeDPS
mEYDZ/yrO0gowx/4Q+5VgZYAT9X1aMT2GuG3tShckawIT7nswJHe4A+4JhQkv4HrQ/74FL7Vkvfy
vFVJZuetYQ5HgiYJ4FH9HRL/EwOZLZO9GTAU58swjNwtKtnhIXTMcUuNV62HeIyPPQOic5EO90PD
sk/AvX3oYj9fI4kvj3YRvxEo7SIPz95HmuV20BKyi6Z7H8v31LUs3pW1i0ZnF0Uk7oT5FNBCHY4p
/jycMdM1ufLWwjT52SSGPzXkjS49gz3Wz0/kD94waBDnpitgAxO5z7fnEdAD01jCtnaTIlGb7cTA
mw1bl7sAQ7j7+bHYYX/3FDg66xRyIQ8R2PznX12zxiRfD8ZqsXNSyTg2PpA/+IsX5vuT9OFJYzpv
kp3J/wLK+nCMOKqhKet6sSthz27aGEq4HUyv85s+nqyRRkZwQAmC5tI8wfKOiGfODtoQfKLYf0Ez
jFE4lwQ/ZYm1g2bGIou+jVSjnH5r+Da5ylpTz6e7zIIQmzgWwkF9ai+y2IW0Xv3ud/y22/rhHrb7
uMxg7i4QTGLlE3W1MRvY1vTDzW0/VDhOzPjNKbgF6zi9xMJ1QBI0ol5O2KASDzE4BmagIsLHqnfn
soCiCyb2+Itr8oMnlmsh3tFdMGYc89uLggZ6Vm3hzDMyCgUZ5bgHOsJeYfrznRFFL2K2W6ts9E+5
41bLgAYKfpz8qku4l4MUsZpb9BsVTBTerlHihdcfcPFYK1+nO5RK9xT0tHaA8YM8NpOV0/AmqiBp
rLxkvNdN9Yp0ZxF78e1gsTtkWI21RsO7Fen3IxuxRRVE1dbKGEBU6hxSBi/gdJENU82hf66EFIF8
dpXj3tsCm78XFarTn5+kHzwkrBnzf4YlqN4+nCNFXyzrlCx2eEARtFF+eIqPY9PnCarwF1cErcn3
zwntTIvXmkFj9btnsrat0TLtvtg1ZlugekAB5QfJAQ3lThhcH1jPpFjSaWHIyWsqSdgBhtmlm7IB
7MvAhW4tKogAsl4LpJsLnOn4g0f/pU2NC036V0SEt8sIvDWxFdCPrap9JSXzPGTjMccTtZhvs9BK
nzFPsktlDpkQXF33UBuIt1yyXV3LLvE3HZf0vbxk4GpB0OYv4iU9uBqo5YQYoE0V9N0iAxu/H/zh
+r0ICoqhXKkuLUn7U3dxRyHpk3jIKIxSz5nUXQNvfzHagialvDNT4xoLxcGaoRuG1xPeRjTa/Ast
53cCOd+QVQ9/025aYBfpZTs4WFHUHbZACggn1XieKm2Z1eyWEIhdDjUNIa/ibzea81ATnIAuEWWb
cIbXputWqucEJ1l8GVvULFgkWTIy+yGJ5FlZNlHI5GhIUrk1mRymvK5p9PEAd112oCje5gErSwz4
hFnXdO+q7jIznKcIYOUhNZyTbOXKIrhvORdGeIoZztVNeYSSe8o6+8FsUNT94s79wePNXoexu+64
3FEfJUbZaOHotp1813rIJlt5bnXWPUmZRQZXspr3X++ldtkJY9MJdnrvz3wRdZtRYYqFw/ta1EAU
0q5A4pCKlS8by1tlXVijXfGLtRj6cQf9C3N0jJEX50q8rossfAXLIS4Z8USrKWRdJARQXBS8y5eT
h/RT4x2TdOM9Lg3kKo2FjFeP++UQwmnNfHbWIYUh62FEHhsDMrbZXtLfQUGIFsB0md5Tkoo+u0QD
erYxRW9Let9r3IIWJqDpiIvrjiwsWOuGNqESGV/dFlt6U3Vnj+pgl8buCcszaU24PiwIuvNuvvO+
rK//qvZ+MXcyoUuzZ/v7Dtvlc9s+v0Y9Dtqu/abF9ue//KvF5orfWMXR23EPW2xSBAv6X/MnzyKG
2SU3mXekO0+meI/+NX+yzd9mHB6OAM/RqTZm08P/NdlAWQtitRnzCNR3/yhr+fvHy/DmUZZjkN7M
p/uwMghrdDWyCCpCgbI3ZLB4CP0SvYWv/2qj9qMjUS3xCFPBmIA5v12ns8IubMA0HMlkpc316qkq
ymGhgqhffnUdrv/cLP2EBMnpMjyOAc0BwSTtw/mTfLVNCzstgL0GqqRTaY83TL9qZU7xTVrbPz6Q
DwqNOSGH0znWtweSXmaIsplgorTpW5qlb9Ch3xL+/z85DGWC4XHFv7tGnRuhT3SGCiI+PSHh89Jm
6kBLZ+B9888PBVwOiB6Sax8R6bffKERsZpcR30giQ7wAq8sYqzT9i6ZIfvGl5p/07T6XAp1xqMl1
oo/8cZ/rSfhCnVDVLlIs2IwGzgxZ7g1tvK8kZeLPv9ZcTH13MItmCxwwINwfWaR4zkuezbLaCYjX
K48idpdgU0bqFD/DsQLtYMMMRZPZ/Sfnk30QbiIPL9bHx4swlt7M8JHsqjoub3vYq2gHNfKNE371
8+8432zffUcHwJvl0o/gqf720k19gvumzKud1tfNDkTMuE5MPbj9+VF+8BT7jND+9ygf3Er0KOjk
9BlHIXANn+Zwj7akOBTNf3bqvjrSh/eFgsFZyoIjRVk/0gJInidYUmxtfvV4Gd+NGoQOiZN6X8cU
ByrvQyke9irAOtymu46IdETybbmAvwDdzLIfaizsO82q5AI0molVRDhLJLW/qPoIDfju6iHG9slH
gFpom981d1D9On5eMhyspFmuKn1ul9HQH64nOx/XItDLFZYig6634+x0dFKrJLPE2qrt4iBr7H4E
jnnD2h/YijaYqF69iNrfA9+9n6Gym95L30YaEftwMuQlCWLBTL0hSdEUDCsQmdJFjtD16SmbYEwU
zs4b6vxmbIT5KfVo4DP+D54YJY8rldPtRrFKIvWI41YlPFKpN7g0MsceRx5IIX8l69Ded92cpZMS
4tWBTLtFAGsf6Keo13czmjHbzQgH4CgJzgbQRsztI4+sHwYjmf6SpIiy45bPo5ng4vOAL52CudmU
IqyuQnMqV51j0wbCr4dzwoBMS8CW1YH8CPCw1eReksPFAEMDBbjMdb7d+4YXpFVHympB/JbH+y0K
8Wa4LqsQ8Dq2kFjbgclQSB1sVOfbpJnKIywbShj8FXDAaV0BCzc/hZF0jkNoJASBlRl75RTBQWtV
j7Wbm58CvjuYdGVUj1Vu9xOfSQYZGbmzCcSyRl43g2ujLdZs7BitwpyFFxrThhZ3TwGn5hgldXXl
9smbbnBN+8Q1P4FzfhtaFdxSpJd7Nb+dkSWUx5Hee7ppkGbP0mRCnq5RaAznZIjtPYsKPdfZNyOJ
CJtlJRhBiO3DuoIlzFrYfRifQqsSwBcYN7lYzU8QvjiJfYbzDxUnsQfvT17WhjDG9MC/QMhRrNOY
kxD0EYgEG15IXlfhHTnSfKXQi9MnMbEVzWuq5MCJyF7LOuihy3Jq3GwbF2hbEerKSiAWDeRDFFSa
WJuGbH0QR1DdFi7pjxcaVvtPvlY4dwP8+TeTmPID33FcFx0vb7AX9c5mxn9f8nDfWbCRkqWDUJfy
23YoBEQUyXKD0FJcNPSqyBU3uQRdMJCoN8ChLBcaEawAX1xx31LHrCobNAEgIVbZaRQ+svsK0YiT
qSq67xBJyi0K+ORZKFPb4KGWl65XogaPCXPHlh4MZ9UI+TA1U7p1qr7LiERqzHhDLwGV3pT4KdVW
C7+EiKPUeJkE8abmxLNlE/lkrDLltL9LpL6PYYK13xszXuOYcZxFw6TyAMuX6gpikLY0Uq4E8Vbp
Ux2axWEIwmJNmgSVbZPg76FMobduHfgg+I9C/LLa2CKxiXI3OpGaPqz7kF5DonGFeovVF/ALshi/
QUeDxuI2kQ24s6gaos9FJZxdkRKIB3gPH5pt9A9V+z/sndeW20baRV9lXgBaKKCQbkmCqXNQaN1g
dSsgpyrkp/83WvZYln5b43tfecZWi2wSKHzhnH3m4WCXNdLhgDh1dM9+9bqe0xHREC1RFFuN0IWU
7C8dNkmUM9MD/LhjVw8vfTIzNUMLG/YR+Bmext5d0lPQCGSG4SrXvRo6FRBIyn0uUTdsrMbL3/ui
WS4YMe9hcRHWtTB8Qk2aa9KLUpQSCF+4qDkVp9uEwN1d1We4Kahr9y1O1hC31oySqWE+qbM5XBSn
G5id4fC61mskv7dVZs+pNvwbf8yc52LS/p09dOK6jkfxmMnIPk89V1TOgfqxD1inmusadKhWW5de
uI1Kvw1usKqMn7Sh4KfEmjMnkbl/J1yGx9IkTtPhoFSK88NNDO9uSdEIWbAid5EHwnDjkHd9F9W5
uhRjz0n2WuzBomrhkbH5yQDWIjtf/YIjL63qWpGf4ndbdvXjp8SpTgQ6kIwWkEQNT4IEvrS4sVkJ
75PR9vkSyuaGkDJK+9qqLwrBHnQ3tgnxn6WQ29zj00mjABCo2wvo2py6wC2futwXX8yR02pYrxGH
BfF1HuELzpwp3g9wzjnjKGY2htE511ns7MkRW7ZDrQjBthdOxK6etjgL67fpxCe0eFEFVctTWx64
aGv5hjO02kodY54Gj4Q6RMw7qgowcF/e6Z6zx4g5PcaAmz4fQIIPQd3vbXRXrBSG9Jq8bfMlEH1H
6jM7kLzub/xcF0f0LDh2EtYFJWlUV51Kb2xw0B+MLENqMyXdVZQt71PTHt8TVs8MZ67JIVmEc1zA
44ZV0pY3jaEiTHJPXqvKXWonX2uy5Lbgn95yP79TgwlqyifuNYlL+GJkztzIWUPSqsF/cri/GE6N
98PjoQfZVJ6MNAFdWnHyKgb878zSF+Aa8OaApiC899shywq62S98B3vaP0Qz7rRKoSUR7nMx9cfS
cqQ6VKj0LZE0DCx1kOFiwHhVM8y1/JZLJAvKLXx/pKxjawKZavDrVLlCrTYPLVpBfEIpMaPIicyN
E40tyRul9VaXVnlG6wpAmmVDs639vj3bhe53vShnq9hF7YSg4GIeLQgxPHyK1RvPtC26Z/IFbxKO
S2IcZDqUyRkpOqp8JtHR4J/lgKt7E7k9FjISvALVY53AG/xVz1nib/whL79gdyHAJ409Bm1eI6Bd
BUy47NYxIYZOnOuz7+HX3HaMuG4rF4u3ymSP0ZZJdRZ2eL4km6VeoALW7Hj93My7LSyOhzGzp2LT
CExMa30vEYCsW+NqFVyAzXmRfg/iMcswTtnYS7CL7q111czBMdwxYDJWHCmBzp2H2sqQLFC4Ty1M
aBkU1b7wu6PV9l2I3egZUVgeeqSWhxbhYzu0beJDCYbluucZja0yVkShSatnRFzYyzW3a/wpJuSh
3+Tr8KnwoPpkhWGc0gmn3d7DDcAk0+X4JoO8B7bnYTobZVA4u4Zf+JgjQim3Pkl0v4An2z8Vo2tB
DFzCITDLZHTxQxfYTCmkX5CXx6Qs5ZlowvJrbbd8giO2D4hs4DGnsABDkBFlK7prAnnontii35Do
Z21TVZJZWVdn32rJC7ZodTSeB+h2c+9cSCtljIZS9TJ3kR50YLmaTcd0/RijezjYE50SXpgyerDZ
8j7bLukXuFGW4eAbwrubI7Sum2ieindmmmYfX8/AqkJnux0XIkN/0VW9jsb/1FYRBsIoxsR/SYSY
kD80PMRxx7LXZnEEx8XZa40DW7neRFGpqJk6yuzr2TaA01kLNVYeMA7l8HMuOrtEbSSCX/XNP1gu
VzGUybbLZgnrrLOHH2YOXmzFnAe8H1WKd70Jyzjn+TJ6KEaK/j6aeeT/fcf3U6POxYDKi1cSK1H9
xwGsBt1UxmNTAEKjIK0ilhaiojRhsVNfGHKuT3//ej8BMfgNBfwSJNFAMm37x41epSj2UCIUHK7Q
kDacmPUu1TCudxkXFoj5ICQtnNrY8cfb10cwUHPhHhILKUwiWM5EeeEgIWqHwwRC4BdXxE99dgCu
w7cYSHOH8Ln80C12sztiphbpMaDfPjhGjClbjr+6B3+aWPAqDCos1/akxdL9h1uwT/shcqs6PbqS
ypU4RPADDVru1goo8t28xgSaUblDLho+/P0XYP3cD1Mf2Ov8Z2WhMEP+8yQBS45EVE3oucQMEx0L
WQeXr2b1sqcuhf3nzDeB4QTvkAC/y4O5hX/ojIDeBifedjULv/WwQ9+D2ccnXL5rqOVkro4Uv8Fl
Vlf6M5IUIHZGRKLot4nLv/PqX8yrEWT6jEj+el59qj7/FKn07Wd+m1T78g1TP4zc67cvYWv/d1AN
bIgzJwhcG5D+6pPgP/0+qBZvuFU5Hr016OjbHO93o4SHOZ1zkx8jBsDievonilAW4D+OSIQteBfu
ehBzA/544/WWTtIlmYxTZC/kh7UFJXUWgczp6URRP8HHpk3R84KgyhhGUMSEIbmJKq8WN5IkSYsq
DyMzHT57lDREFU7VxwAxW03RnHNW81Plbqqjbl9WS/WxdJid8HS0blSKJGJDV2QTu1f40AEzctbA
daIPS13/AdFzca9oEG7M4bmslaIrT/J33WCqJ5rZwdguQ1Eth9xspmeNGHxCmk+87MawYyvCUlXZ
Ez2MF+ch1Iz8JTHIZ9vYquSJO1sqCmHDpqecTDgNOjXoQeNPkb3vzWiRbKPREIQQpymulB1kIGj9
zD60QUK4LCK15NLOvMEH1uKleCerwiUq0sjrT41umqe6Mxfqk9nE5lZo+DB6/OSXQ/VElUs5Pfjo
N9Mxb+/IgI6frcSywDxhaSvxAeKXZefVW+ALU3+8XpypvnXsuQ42oz+1BCqUo3eAmZFf+zb4Hfxt
y361fEIPPeFr6+NNy3h+qDAEwtQ9jNAib0WrgXNndvlp0tB07QmhEQCm5hThwXhAgq55FGgUoeNs
o6NvBAhm8Mhnp8MfDX+qvwABj4+UMIT2PCwkEQKmdwJ6dGjPl75ZWhW7+RkABkTdh55DCfGwICab
qHuBDDGPPkA0nE7NSIg7JhnjclzwbZJ5y1J6meV2RKR4ucSif18AKSHGPWBOPkaqvYBhOHwNVLDA
vps78Pe6kMnNIKsibNqgynbVGBBgzaJoVS0TirUJIL/gnAeaE+updUiXpqneWKBYPxIvXcDMiXjk
bvLWjm8rn4HDkcIlvSchyH5vQZy/CxaHV2MzoR5gcWX7vk3khbCyAeZuXyfMLTvIQXPdsCYd2iOO
luGeOLBi6+LKeTKqWJ3xNQZfRjV6au+aZSw3wgarHY5wbu7xwC7jVndxbeCftt3bRLK+3gx+ZFSb
AMPBJ9nUJHn3CTVvTCQvtp9ObNtSVI98j/lb4NjJrTdl+kqLOTl7ysLuI+qxvUyiCv+KO8fljsu1
fvTt1rxhrgo20Wj576KO5VU7gMUF2Vk211nl1anejCV3+YepEhm8sSJGWsrHM5F50gD3SU3+UVci
Rss6BcOcufe6DiazuKxMc6rAq2ujW+j8ewjEA4Os+3kc7PkMQyI7tqN7K3yagkZCirdtYOuzVMHD
RGrJEGqiPZ7AtczgKSMM6B6cAL3NGwuzKuGaD33vwFWaU0FsgwQ2jSDKvJZNOV12jpscCIN1EAVq
+tN8jpnmDnno2z2XIvfLfaRpiLGCDsXbKRptaFV9Z2a3XqqXItjJZunNB7nosSS20nMr59oSrXEc
e/VOYsq+I5UxWLMW7PGE8Os8xJV7hX9XHcout5DMFhg6+3K+a2vfOvVZ0W7AxMcnf9bFHY29ui/G
bIK0nKX7yA6K0Gv4ItlDwVPXFLBtco20YtOX8DjNLr1ENtCMKX+TbbSA3iMkGqn15EYQSumWzllm
bfoW/A5AO81fY4zbqdXyXSJteUJ6U28FH8sezai+SU35FPSEZ4xwmsManNtVtgiQ/OtpPffm+0p0
DdzJiC95/qz0cNEtfIZRh+YwtcBDCwI7wXglbyc7qQiPrt8hl/XgFjWfHL4xZG7WvckIexeBCYpt
deOOWXbbtdUH8kZoT+cLL0WmSSzpw5DS/pUTs9LRxPtjjvkAR3N1AqB08o+EbYJicqtiQzfUepsl
ca/aVOizgkjWZRGuqcAfDpY9yJ3QM4M+qjpz5wV5claxh6KASPLlKZm0voIdIffIthkN9PLC5duG
XkI2iAln/d6c2vpA3Cad9LxwNc0EcCPkzRBk1Djg/dRp7tp5Du7tBdnyLk674i5nkHfjBuqzVyfm
OU9jcbGUQRsyYfHLbeNMmP9wBDKaZ9QRP3qmAgLFSoxILscKl1SXOziV83UxIeGbB6HeLquixXCk
vraC9A4+VsstkSdbNQz6ulR5uVU4ER+GIoruHCuSTJEhOzm1CZqPr4l1BbZly06YpEXPiTbbO8Z4
4601BdNFqrR974LWeuhHwjg62z1DK6q2U8+lkxnme0fjrKURb2kuJ+gChIyAPfU+jdOg732DkPWl
n/Agz0uw70FOfF3zMEDLAGpd+suxk3bBxFTLa84Y4zLrUo8g46Rs750C7HnrVfkFAml765BFdAgm
nXySBcRYoApab728v+ciLPDAm8UtgbIOCQquF6buondAdW49MCy7zsrUqVxs+7aAsrMz+rm5cUbx
0UFbHrbCyB9KzCobp/Os910tMfkzFhBcGUnOAHow3a2QXrWfUwuhuWO7B9Go9MIY3ODs6HE+Vn46
ndyOR+SUL+7JKFCrfluJ/lsn/6JORrhJr/XXZfK2rqovn7r0U999L+r49mN/2KbWOniNX4Mi+y1h
9A9NBypUyl4qZVYrVKt/lMoYpxBZIAahuF4Nv7yP3zUd5htKZBpWxCCvXmTxz0rln3pUzybn2UTS
v+pHzNcO7zsFBDpf/F51Sv4tXo6dlaRFmGDk3zpd92F28xffHHAV1EsXkvsZUM/CBZ+mOT/7An67
2fmP/gBC3Si6/IqD9HLwpcYn615bLaPgwuT572U4IslWw4MIHxlbcWnuMOfbm4RJ+L4JDCwgbo+F
I7Dummgwd5h48XFJPw9F602bGFkgs11z2GYQ1ram2Zq7LNcf1kTC3gFU3wIt2oLqeXGh6wO55o/n
giBUPMbq1Azqg4BysMWob2+yhbTqMvLeGaN5n9niZVC8vOvgCqtxDcUdy7baS7eea90JNPQbq+L3
cZupC03VfnBFFmy6ldf4Gh1axau2uazM3WB4J6X8U1x1XRhpPpohiOhnkWgvRGRYHLzgkfgoax8O
t9nylxYDH4GEZ8ivwMdg+qeSgnUXKf7UQL4MkS5QqpPI0mvZVB8zMPUYtOJi57Yu/zWXd6PPQHH9
SfYOICLgZG2gAzHan/kIGmIjQ6qs5S6uAafMxRAWmpcs4sW5cCSjtmq02a60vCG7cfOducRvoZez
T1j5wkFdfZ2rtj629jqhjwBcQTPAthowjIwKQ/A5BI+MoLqQKO9mq82MnSwFwF52zOJrc7DwmwX6
EahODlgU9kNjFNT1i7kgLuXisDUvOjreyRfG4+tFkpIktJslaT+Nx3UgZvuuHAhlJWzqcfQF0bbQ
1tnPOndDypuKs1yewKcEe5HB16njcjp7QWeFQ7NeRR1/FkHTdaoFVtNaW6E3sIMkZGniY+LCwsbe
bEvHueZ6/gpAaNWg89ZBY78w6+C7X/h/2fr8H4RRIeX0OfUHEm/Kkk9JC6DdFjXQFXFmwVZp9eH1
+y5jH3FxwWXVjfy+ccIl4wU89OoWtETv+sWZPe1XbnKuapc/6ydcnb7HpVKv9wLT9vktMafMcvzs
heke3/8UYB9scvAufFy4vx/pXzpKb+4T+qPozNN7IZGDuwOT1geP+eoWAxE73J6LyedufP0wqoab
YjT4o01evpRgYWlyvfZcWNoJZcRFW+QQ2VnVi/tSZ83WAhGwGWHqbu11MgPnhWVRXpu7Ukk+UhOA
9hgn+sLXiJhjlybabknJazvANLnHTUl652U6sndgMsdVBpxwC6gzvwL+Y+5oKEwklkkRUmsUocl9
AuQ0vRsS5/r19rKzZTmagpi3SeLc7/HKb+qe1BS2XHolKeECBG0NAMjOwwESCVx5nx3J+t0aeLQ2
RlRdumxbOUK4BLBBBVt75LN5vcoXHFz7GtHmgW11HhLcEuyx1Be7kfT27esFsF7h3OJ3qVyqA+4t
uOID97eE3XF8/Zq7frS5D7iMJhyn4ZCJ6LlZyWKvaYGw8ZHc9sI4Riw5YK+lL+nM/xhF/jWmV0P3
y91jGtzNJWKELSB5eOWqry6B3U3XzuQcWDK+GHE6bwxvrC6jnPap8Lgj+sU0jrHDfYr/UVzOxELv
PZeLrCrt6tLAegaOhePLy8rnSnM4CBJV0kkegqQAXW5M/GWCzGOpbReFg2mzbnQ0xj5N+g+ifhJl
kVZNaWnC2HXs0CiwFXqx4HAb+eoMD9dm1Ft3CQOdwyKq+dB0HCaNHIYtjF6kygNvYYR1RO2K+an0
OcFKj+H/69lkBZMVvt60Q+oOWwP0OX93cusoLgnlyDtrXsHFEeAbp6vXxw5bxhlSz167kGbyujB3
K9zmkuUZWxMUK7BB+Ghm7oDXz5rRUL7L6URue2IC9rICfSCnjp7RdzgCJUtBArGiW0vQwrh1Wxz8
qP3aevzrEtogNz3BESnniTSKdC+U+uSbhhNWqwmvbr135WrLy/HnGWN/7a2GPZrh+DynE5MYo2Ai
sUOoZobEx9PhVN8cgQUwJKcoB8x9vnSR563LnGVR2YuV1dNONBmSISZUj05Mdpz2xya7mmPdn9MR
LQXdOw0OTY6QfZiZuO4TAhtuk1i6TLZcUcTeXn3bgOWdGeLIZy+G4IIdmdu2xhmF+rPR1fVnsNWf
ZGqycYztKf+KP9RYgIkYsA23HP/jsatUvQ/KfAqaDQW9vW0yFlJlhp5rF/Mo2hHoGV0FzNKNfWFX
o75mm+J70AYkRJ+ObsT4MMeA8BN8XMVllAR2t1GK0nTb0vCk187gWnhrgZUa91VP+ZB47uN3pdjt
t7XL98rOn6biHhJ1VCkI+UwXC94PmrAC08sia9Uf6dvmg1qSr+m6vLUr/7FXjMSdjrtOshL6Viz/
pbHwpx3I+ro4Ck0Gj6Znmz9o6wKiAnGcNv2RPIX1sOMetNP8czWi0pqaXwnSflq/ra+G/ce1WLmw
uPrh1ZYxNiSklP5YzFwgayVACoiBaxka7+vn+W8T8IsmwILvzqf6113ATZLW35f/v/3A75Ny8w3D
bqogSKrOK+3gj1H5ihTySPb+Q5393aicHGz0pzzdXf6xkoh+H5X7b1CImmStM9rmx5Eg/gN4wk8b
NNZ0xAKsrQRWUZqAtT34rvyPRqRKJK85p2EyIRZY2ZLfI4wh9AKo39aeSYUJeAzvaTpJ2mGkefYL
ZEdIR6a3TuU3T9LN9HvTrvT7eEJK8t0n+T/cxLw7y+TX5w3SPjFA//O7C3pf8ZQK5CkbZP3sJHK6
hQZZXVbOiq1v02LGKEVfoAmTkr9Y3rGy/XGLsPp22VQ4rumtndh6xHz/2SRW0bh92oJIjD6AbLZh
OfRpcLVubl0Iko53aZnQ+viYXO9ikkH6VmQq/Tgt1cLiQLfDrllm+xwXsQ4BJReHrkAuFZKI5955
iQ+zcSIZiESdsrsUjc3qi2w8wsDZm2ZI0cRWsk+/SawZkYUnBhBtCLohV6Np3+HPL2fqu8RoWQhQ
0Q7I/p4oPdFa6gwquvbrC09LmG81296k0tW+hso4bIzO9vN93AZg6IOIgthOpfneUMoI/dx77DHr
wLlYWpaHnttU10pOcWgkxkjSS20PRxLBIvYCy9pMdf28WbxxQGKDxxdAT5UgK5nmD1Xmg72gDiEY
ZcwieKNz994fI4rZ1CxGstzA9A8bvgD36Nv5vB8TViRTgF0e6cRIieJa7X3QG9mdqdNU7LDFmE9F
TfopKaWmIgVsggfV2yrdk6MKYDLlVrqfIj+mf2lbt9jw6OseBcNtNIDsEE601UW8q6yqu0cN7wMf
sEe0rSlq330JWxCAd9TlpLli/SONS8aLfVFNCndDHKc4tsBtrna8RfK1ZoY8OoNlocWQLlEvjvMB
h58P7M+tbnP20rAaW6i0vZOQ7KvAA25icoP39Ehqr7rRuUWIaRwWy48/t4mFF9pM94AKhh13anBy
La+8X6yZhrWj4D0jCMx2PjOi5wTR33EhFykMiqY7zink2H1ndUSZeRm9/JZJOInAA5GYBwjJAmq+
P52pNKJ3MID7oz8mI+kInpN8kaM53IhaTM4mrbzyi+XJvKbnoS5tnbQigUbELTykYaFicj3lZjTm
1UMSG5l93edpT4mE7cgdHwgdTMlcYF5WE7BjR228ZRxXwdJvOh59GcnZPlVydkDtMn6GxUgeK2SM
csAVXtGqXemWLJ/nIS3QcAfVIK0brTGvLv1iQxG2s+GDO6UshGfHqp8XdhV4NYJ+UtwViAg/oTTI
ip0KOkLucCQzQkVNSIRXTQjhFZFp1Ux36nUi7AdjSR9mu57nIwoni8klfCXE/RUbtJ3qk7j5uIZn
FhtYgqTdBLNTqW085iRUwK7mUdBVlyoZ04bmx66fde3ZJ0FwH5f6ZNanGZ3hPXOW9TBM+P3zJa1u
yLQENdPXNB+ok3k1OkWarCRyHqAaizFsHR1pkAxSv+9SN5MblQ68+yn2FuBb03JMmQg/kYZcP42D
RfJQ4NDg7vCr2n6owYMaGHOn/sXMVG9eEevhmNeABmw4blZTPytdEFz02nu/HuUBv3mylRltFc5G
ztHc6IZrBuDLu0KTdFRv89Fecn2YIkSwcImRe8zPDrl2LE38b7sTIE7rQqWYRcx6pRbLOHyoILKw
eDEYST/Dxy65dNSikbgs7nVLszzshnqojf3Yd6R5SKTWh9a3ipuZ9HKGI3XKoAPA7HTXE3V0I+ua
G4sUp+JGOUULhy6GV4b4bhiApnkdQ/ChS8rL0lAePSrvgGu3bOSpIiBnjdclgm8DQSDqd5VW3kdj
qMYZ6IoCVs0EpCLU2Hdnk9EKqN5N0nrjUy2MmkBksPk7jMn1JvJNeYotOpV81PWLFt1bexpd4pCC
zDkILCl3PXKmYmeAI0BzxDiLpZiPGRWyTBCBrsmivejN/Cqx1whkw5iry6QYFV7PfiKkIumdT9Aj
XeY9tkj2WF3xYdTGssVJOV1KthQXxHAll723KL3pWr8g69ZvHLT7SlygsiSIC9e8B1QsMh5znjML
v3KACixoi5qFTOmtczGtfbyyBJHC6fTo1Bj7gIMWg5upHec4iZaxI2G1cuDr0tbv/y0c/yfuFoof
qqm/Lhyva9Ul/9k9E636/KcC8tsP/lZABu4bZ61AoEygs5GWYEr82wBZmBJeJc0NDAr/VW3xxwAZ
kiUelYD/TOUJi+O7AbLzhrKSoTM/9g36/08KSOn9mTWCyMxjRs1oG7z/6jv7sdGSEB810lPrcmGk
HS/E0LHTJt3MMjfExV8ZnQzChs6/YxvsIP+lsF2eDIA5gtBHcdQQ7S4jit9wZu20j+eWkLR60Vd1
DFlD2f0ZaZe3k0XgXtR9ZTzwZENyWsXGBQgKsSHD3X0ARzC9zbDJQtSqM4MdSYvwQGft1tWIL/n7
xN6CBcuJPkQ2SGDuTt73BFApxh6bXLl2qc5YR9CGtNHduLQ3E050pHXmRoLWP7aawSmYsxxDh3sW
MtpFPf7gJG4/944Yd33WaIiQKkNYUc1XkYpB+negdAbzU8J8B32TJgIzy/DOmMtycIh0JrPQOqyP
mfecyFmoGe/tlgKBxqRuVD7LEMtB94wB2N4TKeyznQPObZcur1+uUdLQjXYdy34shX167xHmiQFY
LMcmt4ikq+doMzbNgFo6u1FzYJK0my8hxhSx6eHlojNvbILhHJvNoOGwL++pIQEtsxX0rhIRoN2z
y/vALJFrkYsQlKhfJQ4Aoj2REWNm3ErQmjsrMg9Gmomtk8zvnG6Yt0O3/hJNDlaqtyNoCn3M9tpw
w8LvX0od7OxpKs9NJdILugooONYU1ou3N9Ki2TtED5BV6RrIMDyPQsQ9BlFwZrlpbv0c7U66RMa7
2Wbqb5u9E+q6YTDST9PeknGwMYZyPpF9nDFPbpaT5lFAHjBpdnoSDmkAxrxjhS53Fca/jeMjvu5d
sO0oR0m8yT42UyMvWsM/zVVUbi3HJiJHq5GklPiQkJG6gWzR7orCCPOsfay1+86flsvMGr1NPBCH
a7DMD4W5JAevKeFgZh+ztpOHrI4UzO2xCuE4GmeEeV8ILkYpPPBg5pp4LDQPwJFLwlcx4VMZVpQY
BooVYx94Daz2xcKormBX3jmn1srExxkFOiYOTTB4/oLcZIIq5TdhRrTa0anwKS7M/5hEcS2kFWG0
XtzIY7IwOsKCM2FK4N/lQkFj7crVk0WJjmV+q+uZFB2fb7CGt7d3s1Kx68/eQqGIryozKfe2/7I6
B86UJ2haGtd4LKSAsdC7iSRkPk3vS6awpNe45gZfFoPBNFCP5ur0YgmW3y/MvnZaL1caAPQeHcUY
WlHi7skQLXcObXRYTThlOsswSUhQS2gueRnC10+2PWjYXdLZVBxe5p4EgqdtGvvD0bLiU0c9fqEN
E16ClTRve8fmU/QjMi5l5hGdjGHBGfHsmw4me+1k5ls03oQfG0ylwEdQRSeNh81+ETDQ8+ohN+z5
FuCCeRadHh0kOC60DsY4SegSKbabuhLSR4FQzMbTu+et9pfwYRnqugbe/7Q4EI5zDXXuJR1ojQjs
KE5Dixy99xmjeQufJ646zHNJAffLNr9OUcLEdaydcwPYfZO53YPpp6e+Gtyzv6DMl8q5d0mtD0dq
zzAhm2OzjIW7k1T8G6sN2FMW9+k83UaiB2OIjMXMUnGYU+NLKZd5Dzf3QnUeA3n+vPbIcXLJPMZs
XaEgJxepVND352igFvVsJsYyfW5xtWxif3nQtTUdiT2NNwXUns26eNqC2ZlDC5PITlUtl1TsqqvZ
8vZ9aT0HLY2UnxLcO6yql8hK4i3Yw7CfjQ0gyewwyfbLoGF/egsYeUchRDMLIc4UfPk+K6yBpUCD
IqnLGywdpX9MbPOmLqyPrqsvM6rOk3amd8ROkcOUonaF/uASsZJWj0EwvC9g9iJ9974QMDBuhyhF
rBEXj5boLzzZqevGJ3q7VkQY13VxVcBGqEx1W7B33EV24m/pIL8qqmmQfJCmnKWvD1L2KQa1OQvb
sSsuZ+q4g5wUA2o7Co4FHZ62k4/B7AePs5zRX1VoKwid3g/kge87vxh2k88rVsvySJOW3urcvSQY
cdpMBhuKfKTfz0Vc7BWMNzYczgNLmmTndm16Mbf6FCsEXlDswc11PakFCY8XpAruU5FPH8aoZ9I5
e58xEQ/4FIsESlMHeIPJ8z6uImfrlQMa9GK4BQSZbFop1zc+XjWtjradA1KrJKwmW2DNuekeYT0M
QpJrTyIx3vcBKXWtMX2208biLOz7kz8sirMGuO8cRe6R8zc908CMh9jglBt9w9n2JJnAFrLsAzAi
Zx97ow1GtyGmQDbiEHvZ+3EgI24x/Me50xc6RwcI//erbTTeuaiKaG94Bc1z44q9U3t+KGRpnv3G
tKAm8iRfOFX3Ctv0biQFz65eCldX3VuZEvWac80aKOmO02ikkuUMtXM9vuswN3rciq2rSVFrufpK
/wb0I95yinErX2+yOiMJ2T62UPQZuHiNa0Vv7X4kCBaX7awwkWDjYvBN+BDswDEFPG1Fzr0tS9Yv
T/UwIQhF6jNoD4tGjV3AAS5cpEaC/LBRi1LfeD3/zmV/NZeFOPm3IubrL+N/rr5M6ac/T2e//dhv
xTVl8ApvdzHd26brroCMP4prSmj0NNABEfB7lOD/La7tlfiOvhmyHpM2JvCU+b9PZ1fieyBc38YB
AT0JZtc/mM466/T1O0cJgmhe3vGxJlP+B478YbzfZmRHj3GVXSqrT+dnWUt2dJX0OuhvSWBUAVsn
NfLET+1al8ap5snnqNX/AxRsTM2Da2jkcHbcwyQ1gXSTBTksFxMypS+tKrxdynJBLe2x6mI3x+Kd
F+MsHwydLD6KoqG3LIynhVcxETHnmIs5zJclS4IbMzU6726o+0HYSJE71cwP9qu13x2HjkmdPYI9
ZQZnMGSB3m3CEUr9VeLn8/iwhtJZUaooEfIpYUX7CqFPLA/cU8aU02aSLL7h6rNXdr1m0SNCP0Ow
Zb5P21fEPZMjH+A9LqPKvMBlkZOrY7aU21rtvbaZbx2rqFCAzWPGj7qzsYARQVfx7w34v3GlhQi4
J/66v71KPyVp/Fz9qbf99kO/L0esN9xdWIV+v8W4oX/rbQPzjTRxlThrpi+N4/fiKP8N4n5YmqxH
XBMcDe/it9tPijfcJv8VVK0s6n9w+4kfbAS0x2u+L90txDj41j8GLpBxzoOj0OKiYq/dtdsBJfV0
VA5ef0LSK7fc1Mlc1pdZLowR12olT1MzJ8TJ6KBxnj3GeJbYzWa2OhwdJNJAzYlyldlFbEGM2gQR
NHRcS1rpw3ef9P+zOOEj+P7gQMfPG/ZX3Oi63GF38ufVha/7kRJoURe0aNO9SED4MoZngDp4JtqK
GXP7378gfrKfXlISS4HVDOGay4H5wyaJ7s1ujL6OkakGl8TWG9kWsjRmq0xKZvdo0432KJghPgUj
hMBp20tSyo4ov8hOI5xL1KfISxlHLoPHp0JWDCgEi83GrV+lnh3W6M9uE4icj4UluuUgo6q+yMhy
UyFYBox/jPCVu2lVWy5bNL0VO46RqIYLwx2m+2LBX8iy33nuqqbWm6xdJ58BRIE4hIC/+oZh3Vub
kRPTZ2qgCEQrO933BGQa89XsptajAm5ITJqNY0zZOPhmaQQqXLpGXCsf9wb6iBTN9pgGJFPBZZhu
SS4r1K5NYutRCANWQerpdcqmsvbJoA0jAZUCZTNZqf9/7J3JctxItm1/pezOkQbA0Q7uJHoGgz1F
kZrAqA6Ovgcc/vVvITKzSqKqpKs3LkszpcwySQQQ8O6cvddWW8Eu7MUep0yTzGA38kbJgk9EDVpc
4NWT6l3b0E6glmDY1qOdSqu7tCu4Rtc6m8im9fzZq59txOLy2Lcd71/c5Zqas++O97ot7UdDQIl+
XweWMj4Iu+fJJZ3i88w4r6uLtib/eD3iUNHryDO4dF4vG/56yPh0WAWwZSqN6AdKdJrK22i0WDGq
tmSX6kyC+0+z0n1NMYI9DagKn8ah5cfBl+KJbhLvTtIC02uza3hIyezwLXgOwKxnOeHYOzjaLIot
z5G6tZtQhyY1MQdFoNy+0Q+zrvhaR9u1rctYw6046uUr8ZeHEwLD4/urRXUZNgZ4hCTvDSb+cZyu
JDTaOyMwpaKlxuAVMb37DaUglCxdOzMI8xBGwqr1fKpM1WjnCKFIvs1dUoZW9qTmR4/2CsGUIfbq
Io0Q7sHPrl7jtHevZiIUnwyyW6+nsc5vET7jfJmIlgI/4wRrMpb81zLOxve1MFO1Q4NTXcqJfHBY
6P0Sdb3Ycos8yuajrTxXbdnohk+G13T9nZ1ow9u4o89rM7Y+j3dKCq+9MXvlil3nxhh01sXQCEvj
PwikBrbLG2l/ArrCd5cIqjVfUdEM9Qt/LdKvNSz5ewQ9UAq8BbFexbwjnV2yQGN+tx4JXuLryTOj
AYgaTctuYNI5JBQfiC5PhsHlpyWDMoNoGe0606i7Z7oS6p4aIQPBYPusDoldL3GRuVldumQeI8pX
HZb9MQU7QtinunWE2xwGqQkrEeXAo/eh8BdbOBd4ByxGG4xxlfJcCHqnWTK42GRLmdntI1sPw3gy
qIY3px45dHs7q5BPwtGP6VcXOMHf0cossvtoTNuDojXQoEMij1ePizNYzwXPEls4z1KZNHHAfCyc
3NoE8hTlQa7wHkaMnrpBzbs+v8gZKFu1q4yQceyNy6DoWxQXKzUJ5tDSqezHZDAssQ7QmHrPihqX
fZNGtKLWQWzhnfLFZNFUCMAFBXnBNY0sTjlKR3GbfmitdoppOA5x/1lEQZ+9b5khLLnGOuS2N1VB
ZFaAQ9KIwq1PejkY5MziN5m8TkfMBXzntJSt67TXQr0PhqjJvrD3s21MBXNDvleBCtO+KVh/dLOy
hzT2LqLSDgrOUJVnmkTvYQ5YudaC6DGS2PyQKE2HlqLKdSnM8NkdhwgSi/Xgj7Ga1lZRDe/maqb+
1Xdyw4vRkYUaywuRh9EGtg7HoSIBU4o/b3Y30i/cA9YCIosqJwVuCQkHh/TOwcNPymFVz+gX87q6
qOvAfOpA8a7RBn8woDXgo8qBaMwUMRI5qeBgZXb8Me8i/4uKRUTWcltynPVOw0To+zbLW3XnVX78
wRVjuUXT6dAnxj0QIJH8YDnUrezShBjhk4eJOcVvb0NglpzvFhmerbP8Kqnj/J2dUk8Iza7faYO0
cWNUal22sd6CrqpvxlwXJxdIwXYxEwBZtoHPh4N8GJ38dvJNle5bHCy7BqUatZeq3I9JlTzEnZe/
mwqni2n9luWJPDYQLlmjj7kRZrtAgBoYG2LS6ctyAk1GUT2y6NTPpVvUcpNqWvcBeq330vOWR1sk
oBo8F1OQ5w8w8D2Fqg6Ywiamvf6V3MN2kw+Oc7B1Gu8IN7ev3bjznQ3F3nJeqZntwKbDYAVTpaj2
Qd7MCytLYLWTyt7FrnWXRlW9N5UcNi33+JxmZEWxSo3eRYmpfkQr6Q/XVDajh7CW3t7A4LVz4Umv
jdTQwW6ePSpfsm8umbDng1mW88Vk0NfWPdW+uWtbqKDOsG6GOT2gTPAex2TUn02Kkpd06alSlW34
V6b0fxRmvRGEsSXi2BAs5GeBpOeHLdGMY60P2945khHIGuYbJksMry3zXKnAT8BP4KfWpFbxdxP4
hzr8fIv0w27S4azIP2dvPLLIN3KSpipEkC7SGtVTyCcoADTMxLltaYUGm9QkciJimvnFVd8cIblt
7LakLtuI0ujgv8XKAYSWvpzc8EhHsH5JKI+Qo9TbbHJ+fndvlGjn62By8Niv83Q5VH+/4xxl5Q0d
maFHhx44k7rZsmiUqn5xVcSM9fsXwzhh8TjRLcEg/P5iCCA7I2YXihgJAFNVSbDoC+bQSIbwFxKk
H3fSsAUCnhtvj8WB4s1OuolDv6a37x2JlbCuy4G9v0uiIjQR0OedD73j57f2b65nuSileU1MD3z4
myO/FVD9L/PCPWocuU9/roGlNFmy3HIhM3XJzOP9+TV/fEdgebmLfJCQbtt9q1kk66kxVZ55x2FI
2sM0EXajLLLp/z+uQiYAhXIYepxMvv/S8sie0H933jHuQZLMSZmQjgoz/PevwoEyAOoPFOEHQp+H
CrlxDe7lzG/0oLCvbWx5v/8twREXpqA2E+DfefMtZQ19tDqhVG9HkI2TVvKdjPMEVg8wpHXd12rU
vzjS/Th9MKczmLktR/C3N4+vTMZoptrvHA2w18/WgNpYmyNbkSEHc1EGM4VRuL9MXj9/oD8ObBz5
dIwt7hZr/ttbDSH2mLp27WM2MLgiJByXvbekM6RecPr5pf7NLfJy0ExmDw4D8+1c5VNS51KFfVSt
JEmtsKpL3aE2xB3NhLmc4NTy1vz8ov/u/jwWB8sxXaCOb/vXIy0DIUPPOpKhAqqkAHyYm4Hcc9D5
5UA7szi+KegxS4ZUJ1wHZEHoBz+OtIWcZjKcAa51WDpSq3BBgftmfk/Pp72uUgigEGvYJquJfR34
rrm7HptRRTsoWA6HiwrmWGx3ny3ZCXadugThF2Renf/isfw4D1F7JEsL6ioCVKSh34/WMnGnZCb5
/EjUDxdKoqR+SZXBcjWmDq8azp5fLVXWj/MQqGJG1QI0gZb7liYS59RLIpaYoxEY7HVVsAQc9kr1
n4OWBuBa1tHyvtPUum6GvHkZR1dbG5GE6r7pbDT8TTzoZscuKdn3s5XL3x71MG3gL0O7FXx3b71y
2HzwlAeM+kIHbLpN+rtWDG+vQwSfkP5q/qqM88O7CQ9jGQ2UcnhFnbcXbJJu2fTP+jg6kfOKw2rB
PDQlr6laIEm/ORC4GHWjpRBODM8P7yZAxtBEFTrT2YWOl5ZZeDK7gFOOa9ackn5+sR++6uViAXoR
Cunsxd5GMRSZYdVdZM5Hj/6Lx/YVP/+Kgcgp8ecXshfq0ndDDuUuyGVWBG6OEv+bF5lUn0R5WIpZ
wFvZ3Zqc4ZD9BV2fvYsMhCaXdTpSCXFiB1rlJAvFicQXLYqNZRmsGnUvk4w6gTFxWFp3lq5ftA+F
DtsOpSyqXmJn5kv1Y4JRoWFTxPNtX1YhfIaf38mPL8OiJAe2xboGqOHtTiQh1aD2i6472uQhbCYc
VZcF4L19bM6/vekBlLFEMS16I4te75vljVgCux+VbI8tUPKLwE65/wYB49aw1RL4on5ZP1xWr2++
JchBzIco7fnTconTffMtlboQVoPx5+g1yvniefZ4bJ0ofDoXRDy/o6rT6Nx9Vyll/2Kms9++ImTC
AE/yPMGVF5LZorb/Vujt5GAKoWWmR+LIskJvzDSgG7KfPT0I4IaIij96VpY5CBg7qyN8HaBiKdo4
IdMJpQiuwXS+N4eCKqIm2VtThPSXff2AaH5F7AzZgXhS0/3A77/1+xkv4Uh7xiWZJc6AzWWBqO7c
tIMUuLxeBBWye5j71qqPY7t0wW2vU7fupCiNdREIuMuMwhHS5WaEZRLEOMavXNPI2o1pZcXdRLXh
uvV6gyZ74t1WM7EA+woz+4oqdqlXWP5sk/j21CzXne8O4UpiLT31mePT8cxrPW1QgWgO0DrBWUhy
nDPm7gDQwJI0VYE2JG5P7dscp+pV6HRhs+dWSvFoqK3c+jy1QUZR3EgZL6Gql2IoufbydpwVf/dJ
zKsuCIWj6A0DJZIHb8w4lJQNra6tblDUnjefY0aK8C7Ml31NUzPWZEnEzFeq5QnAHot2OFyrFtfm
Bb1edV8rXchbWKN5dcriZuzvOhCexQaaAKO7soo6u6+wnpK0NvRWswNkpu4zJHKn2POq7N6vre6z
gt6mqfCmrv4iiHpxrtrGWkpRU87XrMyEH+TW3Vd34uM+1ODRIYzZqXMaeZojFQ1kJ7sk6zO1I0uY
y1MHoXJFHgSF8KCYPRJcRcRvRC0TwXWdRHnRqHQwHsiX49JNBohmE5KYSwlH5qKzb8ppdPt7iw5y
t8l4XbCcUW1u19bsTzXRsIB7x7Ht/Gwz9As/CEX1BHyOKdwFPkPkcjlyxLV9YiJPzoid4gIwUh6x
rlpAMStcWcSZ10On9wohj72yk5AqY4yiuH20ShJs9pAkeMFKCaT92kha1obzPoCaPW+fjj1KDdKD
5XXEBS/my4hCSIA0hZTar2Gvo9tAj8CpzyU4Nx/4MEIq69FJbfc1iSTpvt3QQXf/c1jRb6fXuIyZ
yRdp8Fq6CaW3yZ2tR3J/JSw1VkXiOHpnaSx6Lm9RE3gLsjZ3ea52t9TMRdoNH0Gck8uiwBvf/tma
wVPzGrli2Uhg+KQeV/mwoq10qcS2lOdXNfLgg7JMKvDn5c/3BoqMktqVf3J9+hErZPqKTFCgkd0l
tFCGaVEbdBry2eHBogJ2xC4N7Ti568qGD2Jham13NQbb+1JbjfowKF8Y4yLAz7L7AObMcOWq3Hr0
0rR00ExEyfwlMOhkbKHO287dbNVUgeXM3lgw/ia/YD2mDSCrlaRawLvi0M0B7uz0wn/PxjzrATtD
x0GvmCdoK9NVFIEbXDOFkySZtx3V+pnuLLjfttQBFQG848fCPGNvqJD3i29DYxue/lzx/ytU+IVQ
IaCL+M1Cv3ntX//xZ4P1+rX48r//s/mSv06v7Zdv26R//sxfXVLfReW7HDYp5TCCaHv+s0vKf/LZ
JmOSOad72GwZ/oKtifAPWuLgJULhcH4gZPefTVIR/IFin7WO086fCuDfapKGy+r47dK9xO2gqaf7
F1CcM703m4UsxVRv6bA5zN4sn4FvlTXmKDENK6Zk8qH9tuh3dTPf5pUNJCqXuPJN1DFlZNa7dESd
iGhdW89RMhRyVYKQXiehOX1RvWcs9vB0jYqPoJwYnCvnAoAt+YdzyUwQkb0rESPuZ2HSxlOhhyPK
8ZMDiHz3Ie1xTHN40Nd56vYTXinAAz56J2dNv689egx0POVorxAayVUvgWOyHW8vIZIRAVLAhjGU
m+4xQyxTSuvVF74GGFYZbX9fguk9tl3yIfUb4znJCwzMTYmqtlHlfmAG2NYL4aIOuvpGw4jeFKq7
g5H2mdoENxlxp5a07zCLZrsQ9M+GRpaxSsFH7M04+1q3AgWWGcKSL03YG8TzaRTMkK7B8vb3crTv
PKGWKLH+qq9YCVFq3CVW8BiNw5UVsUhLVT5MjbZOChcxoj2MX0QoLn8UJzLQTk5QP0cwZ9fa6tUR
A/4HCA0XXlMxOQlxR1rgh8YFHuBX1YOiqvsCm9/c1ELKTcZyAVIOKkCSlGtewUclom2EJHOVRd7y
EZqV5/Kr6fKKva9980ZkhrEjV72iGB7mTxU0kCdLCUz1CzqCToXYeaQcrqBnsO6ZxddO17fs5vUh
cozjAsp6rRyrfazxSK1kErGzEHWO0Myub4GhH6JAgwemU3gzj7J9Bqb96HVJta8U5RkoS/HJizKf
VlZosYB4wbbNg3e5rjHPOWJ6B6U2PjpF1fn0cEHr22E0fDLMpi3XfmOKu55w0OsiachpnWypoFvI
Rm85qz8IUmi3gnq13NiVuAfZR0B6gIxQCOmtI0YOnpMxYXUyRqSQqglpEYiaTUttWRx7QAqmKIBW
fTB6FbguNVzGsdETMkdm1zswvsklAncTV1I/brq5hxQAVS+hL5hV1c7CH9mCvpvNy2lu3P6i4lC6
gkXcz19RlmtjH0D/jr7OoT9d5XZLwmlcwjrI/US0AMridV2k1sN5+vrvRP+LiT6kQvbTiT5B0Zx8
6v9Rff3HGs9l8TH5zvfx58//Pel7f+Dn5iCOmOKMDWJq/5sb5P/BoYyeKkfnP+f9f836wR9UByme
UK/jcO17VHX+VqYFfyyQXA6PnO2p8vKffkcaw/LxZtLHVeJwYrJhC3tiufNvj0x46jILAYN5yFS1
LuKv1Clu1BxdpEGwKafyUCTmsTMjAHbDs5Uxs4nuF8WYhcX0w0fg1IZEh3tGdPemIFpRzauDIDYP
VTub15HzPIf1qYOXV2IjWawCZt8Mm5Bk9BUnvKu6jtM9wUzIU+0XBziNlhBBjPjK1JgNKiL+QsIv
aeU3Swit4yIoIerZGGNgdvUnR5EtWIFvKSUd3A8pMJnlr7MD0CyZ33W62icF/jVjO7vhwamwIq5i
BL5UEem5aUJBhpXRUrIDfj6sZ1E+zQGB7rwTB0WLl0D3FV2rSwJm4Pul+s7pO/TTOVCfwLhiQGNy
6EW37bKTYwx3zDzDVpUxyZVhf+eFL5Ywtl3sv+qOT8CQRoQu1pAD1kUTrkwpt0OVb0YFjG3I7tEb
P6bN1MJGLkg3rIkpsM19kg+3tAlJJi4/aphufZqtG+Ls957mY0x9n69EWX4qlGPusxTD7WxOn0on
Bgg3dKdykcjn+JRrr+NimkOQuIkLonH+O7n8X9xkVH4CyuX/WW13UU3fzSZ//cBf0wlyOjgDPoVE
arr/mkowl3kOGAH8xHQl7W9Frs45cW6pw9Ngo+T5jcjVMf8gOAr+L2CNZZKhEvUbU4kjvneQ0XfC
Z0+Njr4sqj5wZMsG8xuf/Vz0/Vj6SXA0m0JdGikuhAnQzb0Sbva5KEciBKLeYWnO3ThGExBl1wK/
1ksKiwx9id8Zt1bsm/FK1vOIvqSPnjINavCySZT6JHGbxhfskZpoHZWDMNaN0vFuYJe0jVTuP81s
Du+GthbdqgUCFB1lGuSfx3F2T2MzBE9SVWm70vmiZ++BKBAaUjGSeiiaMnSSi9Ed820qRUNYC74i
EhQK4X0OLC//gtz0IiZo+zoN1Yi5t3HuwXMMejMQMfK1F7q4IX/8KssHyv5zmaQvOhLNK7uR8b2K
Mb3acye/GkLU6KhityEURvm3tTdiUVWz6KAOxuqKciQRumHrzF/9wjDuqjJlo0dsWnw9GjabOqfG
4BB3gUWRuhLOyZZphswWeGGIkGWQr5pJ8pB7Ubd1x0i+WLOI1VoERbCnPiRQRBRe/oBuQN5AL70g
q6KKD8mEKQopVnBkjRj3ZkVuzkYXuPEKGRPnoUuZ+0jmpQ20iZqrXskM4iq5BlX4ebZMVZPU0Prm
WubjcAmTknySKGuOQ5TB3+kswoVtRCrEmarwstXgNd0UrCab4jq4hiUfAiEd/eF+9IvmEM+yOmSG
2UFERkezDpMir4AYePVDk0/9kfXUWGNh4eGEOVZEg0iFG8unVLEKYp3eJAQ5DOvY9cfnnJ3tyhuc
Pri0ZIVXYpEqwRSI/RAErhf1m7iYUlBqZXtTyqFdJwps2Up4OMOcSXEwN9kIHPu0WPLkpYpvg77+
SudgHg5mr5sEBJGovk4gfhzk2xoLDHgpTOwtCNRDhP/lKRpUejGKstnqcE4FcS3e+EqxCcDx1I6b
qi7dXWiI1mdZbcTOqkKWD5VY0w1h23H61JhZpMY7rBVJlW8tpCz9Hn5Ecj/Bibot7JDeyGe+XaRq
ENtwm4OmcUqE0ydTt6SbXJseoQrXMbb8DU04yhhOP75M7uTBgrXsd3HANaKuIVhMPzgdeAj8EZa7
7i2L4GCM//WOJiVWF0YoHDzbP869k+26IisY3qJdz9Sv6jjD/IOOZ8Xht8LHXheAw6xol8pswV2B
cUsUxIU2FkRCZdalTWzrVWVaPoQ+554j8wGOhHvStROtZ7OFeGSW88FTDc8dQ0pdrEZnjjZl0PIG
OmVjIuKrZg/v2cDpoY3CHQttT3+rLba45vwLgZrsNBBFs5maIts3WN77FbLD5tLrmuFop0Nxz8bH
AaRVee7eSyFJGGF3pyUDM6vSr6T7vLMMpoE8yGhZVc4mxTS2qpK0ezRI97vOJ0SEVIYkKC7XegCi
xqwVFLBiw44YYNMDrwvjS67QngWoHR1Ms0N2K5zyKST8izgjBrZRiUPax/eeV8ptUVkpbqWyXKeJ
ORJW1eXBAcc9Us3MW552NT2yj5Qbc5zDC7+CB4L1dtxT07fvPcp+uBk18DO8ZRf0LdHhEXsHL83p
KEzBzN1SnVSnuXD1e5E7zjOKrnQjM/wAqpZwmofef0SAMlzWk5crJqmOOQVkKnNl4kbGJ1OrClNt
FusbM2P0JmWcUgtkbsxiYLmVpng4GGF6miyDWKe4i9UusjXbj9Is1hMyx3WcZM11sQgvqCQEl1lr
v+J8JlIFzROu9YLI27Dpt0U3mhnDsJR3EzDvbYQnCHx1nPO0bZEyUAHChp8SJLo8czESQEW1S60l
iOpT4sruhnS66fNoAogcy4zKXm+bWzOoiYJ2/GGH9ad4howc3Mo+Bt0S8/U/pwGuUncwrvExlDfW
iEVszmPzkbZq/rWbnf7Fh5Dw4FMVuIP+F29nqzF3ee0MV6Pu4TaaDmYlNJfZFglPzqQrk+EhcUR1
DGjwvoqOV1qIZjopuymvAppmB2W41k3XudliaxoYVdP8EFvFsos0rOQaUymUYMDRp87No4Mp3XQ9
pl22qZyAKTOPb6ywSw8JAaS3Rjb4Abnlgb+OmfM3Iu1texX1Uh/NvJa7Anz9dWLn0TtZ6kmuitrt
PoCiReanjTE52WPWHTo7ahDFWupjQZj6WotaP4qRxkkdpT4ZQnlCSZK6y7uGRsVJy2g6AWsYcRJ6
Zsr71sh7gs6tBzse7Z2uUjyIEwjEtTf38n3d1N2t0NRwZVctmLNltmdFV68ya/JHIRdO4+BxCJ+Q
IK/hnFK75a08UgO964e5S2GFC6vvn83GW0C7ZHJYmfk8G3GOR4biVPLegUtcAlBGwcRKlJlBeqMr
Siz0I4diO1hes4Hap4ptbSr9OehHb4tiFyR3i9ZutUjSIeO0U7SK5TzsJ7N4nJRq9klGP4OXNLrg
q8w3Q1nmd2Kh2rulfxxiA4aI1/7VV/3v4fsXh2+oxktb7z/vjy9fy+61+7bI+teP/L1Ddv5wOVPD
wEXSg9zrO87CGcdrs91dZCIceP954F4cWX8fsDmxIw+wIL8Jj90d8T+/sSsGM/X98XYRQdDlpXhM
P5L+5NuyahNhGU1j5V0WNor9te35Fn0da2JwrJG/1RTKfFtHA2CiQlTRdVXOLMEtfUAo5rrnrXzI
q8Y0imPXeaJV6LMVLdVDEPFGrwcxYiXzG2pg15kEMuHvinYsnOm6R2smFWkSPrsDpzO8Pt71HVDd
0+g03acsnu56J/GjtWUjsnek5+9yShLzrmviTW3r+cEINHVH3UtIjU0IlhPpcQhZbG9bbWeesHfn
7jrtTIDWPiXU7pA3JIjdpkaUPbRNFL5gWxAQxFl0LQbZmNaXHgU2wi3m8NnAq19xCZqzW4WSNtnX
vm+WKzGXxZb89OAmow770uD63xhhNX1IRocVB3bSrhpm8IqtJG4mHW080JWQACb7yqj3mS7yi3TI
5Qevc5tnuxNEV1hVEn6qwuBTrubrwGzJDySBbL7gj+hqJPr0JnET80BQqwVKR4RrBdKU/0eEzd2Q
lnJam/NsbvopRtDMJjykaTpUTIlORKV6stzxUBq6AFE5dE+4PaILu52nvdb+fBd29nxkYVzSMRI2
rrRxjISA2zT5zPvg3qUZXuDtWNnGjSzKYK9crz10lbKImOjLR4kYf4+Jr7plifXXowIPsSYl0b6i
smG/NwA9OCuvscVN5cRLlYTtcuH7/sWYWPoy79153CQDtADLptRgLLPhhE15J6iGH3AwUfWZo0Z/
MOaiRpycG/smafSFI239iegM/0JC/HnQJt7uwWiqU2XEQ0FqnjHfqEF7GIN2anR6G1ft3/8mg8AZ
5ZXh2nU9gMEs/CUjcgydsj2mNWGY5ZGcgSmHy9FHTRrusAAAebcCaGLjlHcTqACaquan/1Yc/k8V
Bw79P61nXtLFGj5l8/dz6vmH/ppTA+uPb819/6o7BOEfcMyWafYsg0Pw+s8ZlcaVtVTzwNdQ3LMt
k2rBv2ZYqiDMi+hgLM9cfuq3ZtjvJ1g0VWDZ7cCl/IC8z34rrqKqKdtAU/gfCZiSawGL8W6yYs07
ThcGk2l4HIkWNiYyXvDLTyvs3OE9DKv+0OKm34vGavbkXJjm+puF6fbP1tm36FLXflMR4aNxc6xE
pg1DyEKE8H1FRHXuDOoi8C780a2rGxpE5k1A1COfAUletoJq95BYjuFsk5ZOfiwgn9QjBBoOTNHn
oCytu46uQtNu69kv/Pc0OuLrWQIuYMLurJdCyt5rtxDI9Y7NuBHgdyIB/AZUAyjnjYN2JDhMWaQ3
jpmVvdxY+eRkii2kn7Xv5DzGbJ2Mgh5xCJvrPog6YlPZiRGMQcQOsuyWZFCiiNKtgqDM7C7bYRtO
gbglfW14F1Z1vpow6pHWl9s5SIwpbT4Wc2Hek59agcNCj5KuE2zDNPQyF3DeCEEiP/aigg6REHCZ
E8YjnLsSVDjbrGmH9fiJcFtjj+SmPRJAaO2HQXSfElO2N2Hhqg2cyksrro515XWPfpmoWytU897v
CASNwGwdlQGXI8FcxARNns1144j5VMYSME2acYYZrOrecMIXeHRQzpKuqlD75PLZjqLaXwGjma5I
eDPuNGQgtfbl3G2nZFQnMG4PJjG6UHiIUFU6LP0Vnhgr3gWZ4XykI5+usFGA1ce1goZGmIl3bwZZ
fU9vVMBlCIpbd9Q+fVPRWtkVx5pOvEvjltAmVAs3WjdbDrr2rgnz6XGmk78qJboSVG/uPs+Lclf7
vczWVushH6KEsdWlbx3o2dVbX4fGSmCb5vCMD4c6BCafJvbueOrNJSqodpcSYX2MLREeF9/7UVom
FMWoNPPnure6x8rn4NuApHTX2WBQbukSfS1KG3fXaPqfgU14OyfqG8hD3H1rjwuqY8TIlFS9t+K5
OzvdTKBM6qyWrxmv/UrYrVr3vGlALOPp3vTH6Tpkbbh0p27Y5k4S7p0GanhvwLRGniy4oV7cyx5W
DT1eexW3CSiVvC38aDdxRJnXunG8Z5dfsjZUzloahMPWxZn4ascpxMp0nr/YdCGvmgKITaBUe3Bq
h2CwngrGCyuxbkkAl9aFfYamVdMCUNNnmBorMGA1/wxZs8/ANU6jwNcQU88bYP0g2QgdMR5dtEU+
Vo+F2aagt2EQrlxq+CZUmDPerUCveqJlUF4qDE8n4QwRzB/AUGk3SgQmtgvcO4icT8XkTN4qWThy
eqoXO1EY8vgAdi6NgmgnFvacfcbQhWckXcx+Y9wvyZv5hiLKdOeXZuLu/azyLrK+fRfKSX/0R61g
e3fORbiw7yiIUWOsFyIeM+H0Mp4xeTU2erBeZ3xedkbpsSqD1asWwl4Z+eGwcZsFvFedIXwkZ+GI
PqP5CsrbKN3OyL75jO8DejVeVGeoHwdVap3pwvqDxwL2b1wIgIRiTXdei8t0RS0RB/VcdvkNqRA1
IsuAOGEOkeAEWzYaEDkXyqDHdHBZyDBPVkOUF09shJr7ZBB9tVWASK6ihrwog5zhbuMLUqSSJU8K
TL2Rb6whcTbmkjfl8Y6G23ZJoYJ82V7R8JW38D+zd/WSVkWT2eKwDKuoqOH1MT0z+bpdln1K456w
Cxw2CO0oznm3WDVy47kWVG1INiIlyxao6bb+OTwrrmGX7HArhl9aLZojavfpJQ4kSWpL9pbVk8JF
6WSDCdQgI3rJ6DLPcV10lpxLGY7pDu5q+wDmiGCvyPLkHc06+31Ffvu9P6sCtBohirdI0Wu4MXB0
MEL4svtQzbAYVg5JGu6+XRLFoiVbDGFfY2EEVOMVCqCRoDtrculvgYoFhslJ/AYvPEll7thxObQY
41fm9/A+NOS0a3yv+0AcPJeIQ5Pob+bmXTqL9KLNgHs1EwlpzA3qIl1S08aM/DTwn0SpjUuqWoZt
lmYSrpfVoCWRt+foNWKb/ZN1DmTzZ3sJZ+us5gidnPM0Xvzhsg887/y1HYxAXhacJij7CW5ytPwt
bqBPqSBaaArAv2ToEJ5w/NYXKYeF21BI0JwEx9lNR4QcpHhxo4z6lEZM/drNT8SmRqTKVRehPxRI
GQy1psCCGMUs621dO+n1jC5173Bw4Ae0QqTHQHdW0xJu5w7E3Nn2YG8KOZNw1fJHEpjGh3QJx2tt
oS4dt3FwEEHLfXFcYOzjEqiXgf/btEWl9su+5GO+BO/xlrr08c55fIjQyOYDGypPXTWCTmU5xd8f
LFF/roDYtLY67TsLYWl2NkSAhWI3t+A8N4pYsCcv7fty2yyhgc45P3A+ZwnGzpIrmGI31Kv+nDcY
SH/iLB0sYWDnRMJhNNuXZIkpRHvE1yVfDScdbwzTye5n03vIVOTu03POoXBaItHKToorVJokIS5n
8JsoA4zAFqv6MC+Rif1AeCJpgnxf0TlT0RBp+UG4TcHvJHLRXsIXKbST7OVLIhmDprNOHVRNRtES
2RjrEcYR+y5avKQqUxTC1ZS90uB66YB5bZAKCgfcWlgfU/LnfIrsgUGpnSREEGJ5BKDIqJrifpJm
j+Mine8cz0qIbxtJQfA6i1p6C5x3N3TdPdQwFmsILVfSrSSRjwyxU0JHzd0QB0UIFGZvUa7cwiGr
DWXTJqKQ/GlKVfMxgBVHXUgb4dF3umnZYLp2S3MWt85s6R7M69TqiyD1/IpAqcE79WB9nVVNI9aG
CaWXLII0HU8N1IIalp+IoQuWwGzWbE/a93bqz8bdCHjI2Q8s+iSlVBrNEO8AbfcKTCEm6IVCikin
OWQNzxO6WCTBPfnO/2PvTJbjRrIs+kUog2OGWVsvYkQEZ3GSuIGREoV5doxf3wfMrGoyGMZo5boX
lWZZKdEJwOFwf+/ec9l/Fanu3A6DwChb2QpqZborZ06dsNCGrl5uncJK44s6HBMssL6dEaznDA+1
5lbfhN7bT5XvxNvCCjhNJwjkfxrCV/ZIKqt8WzU1DTIlyFQyfsTEJ6OCdUqDvBTXWkSsIBinyEVj
ape/3Vw1omWqBuquxB6pLmEIK4tGby3oiaQU6vLMckaNRtD/H+v+T8e62ePx7jzySY948Rzlrx/O
dH/9jb/PdBZlrtl+hirFBHOEC+5/hSmC7FcMPJzPsC/O8JV/qxEN+19YGW3N+Q909D+HOvrMKp1p
EKUqjkdOfvafHOoY4oMmxLERPKr8HPxDHOoOISQjakgdff3kFf4aV4Q5XlDMfXc3jp3OPg1BcQ9j
oaCswxn0zcT0rlvt922qBBoBMJBEATzDWByJ8LG4pf8pTv6DUeYLfTcK3alhMENGsfOnRnkqhldp
njpmnriQuQD5bgg7KgzeNYZopxtbvRkjHBYvX1/FQQ1zzgzG0YUTE0wsMQOHhi6LXVfeKQ6eUgNF
eKe4wTIqi5ssq7bA/LMTRo5PD/9tNCQzKhInaF4HHhJ7MAfJdxlvaRFg8m/4R5RhyUyD8pSZ/NhQ
QpsRYHM2gXF4QFcbEsG0QXBhoRPcDbEBAD/uxIWKxvGE7QeVx8cpzVXh3EYdQRWVEQ8ek0hMFb02
Q+V13p4n5Kx55PyMS3+YhkUVDNmWXsr4p3ODQTUgDbru0P0gSfnj3DAjWDgKMaoeZmNzAVqVbMPa
MRbQ5E/lLHyqdcxDYW+juDj7s6yDWkcC728qS6X2sjEE7JD6SuwplRPvEo2TLHGL1XU5CgCJ6RRe
tCmt+K/n6Dwr3suX5zmqQXMziGp3cK4fzBpyakrs1UHjOZkyrK2cC7Sq/v7rQQ61avMg+NzoLajz
EmnPcrp379ogCjlKV6s99K1iawPhjxaBrfuXqYYoecLwSaOX/idIynrz9dDH5o+OtEfD301K+yFD
DsIWOFVNrz32n+O61Mk/poo0IqdRVBJe9YA41jGU/vrrYTHyfX77Z1k4F6vxURCfLKQNPqY46Kra
M5W8/lnYltqvI5XQMbtn1TF9orCpl5N4lbb+Xm/UdjM0Oo8gHoCWDl2/jcq6ftAg24hlNDXxqgY5
p5lZB1mkG/pztwZVCVqXJDE5dBvR+f4tu8I2fMtwuhvBFrGDsuOzxurspVOUT8S9EiLsNIRgi85r
45pQ5ipUFwqlDVDodniRluUIqqotFhbRCmdW3ca7UE3tM5X62w8lQ7AANHoMyXxTrDPO99QWVKVZ
h4pJ5mwwQ5STQaYrikDteetm032Ecm4VlqFGX7L6aWmZvfejTF8DqETRC49ka2jNuZFo8n7IR+MG
lKfYArlJIfDW8Q7oJQ3iVhibJmENtYdSXDgqRNxYN0CHakP3TbclPyRx5Lk9xSMsZUcbOfE14sIn
/9wrYpbdoGjDGz/u+p+uJOG3m/S2IQlvYBoQWgbBeXrtQW59D0viWVeZm073Vk9nisBd8VrXOIaW
ZmPI30plDOBp4lQ+kNXhhJvBksZNR6kHajc32DTQaBDTIBeZnDO/R9PioOzLc9RFhEBFBmnoPg1Q
xD+k8lE+lDZ78li5BOn6Khv26f0o21/xNNwbk/bqIqj6MWioAIxWib7jq4p36oi+ZVGHvEh5b7xO
sqhxsKF192IwBgsQGzwE05/kQ6vy87KB3yMe7GSfuWbzEM1TPx0q+yyjLHlRZr0PeaumXMgeHeWA
FpPhqHcrty7rDXUGdUuBBzoOH5yAuJTRXzvIreMloshgb46G5lHSZABtInujiuUWpmjixWbc3SbF
1N5KuuDLqXYhPCcYqW7SAMm3CvJpjwMa8agC+ZxAAePKcbmdi0oX/iqrS22lsW26lL0bx7tYszJM
RHRYFpBZhT/7hMQ3CkTBzRhE6i1UpmRYACM1rzSMeNswCNStMGr/xUe+hcZLU/xLrXcLcltC227n
0z9RJr5vXI1hra1GMtlAe+FoGMu6Oq8UW3wT2dTtLLe0rn1FV7YcVvVrW2TBeW+YD35WTTeSagJH
MrNTwTlVlrarajSibTsgY6CF6L/IAc+gW/aFXOhKq2yLMXR+G3Hi/FYCXy4byEBnNcLEl5AA1XXQ
Vga6VcdR10oj3YVP44374SMbWYlp+JXi3IiXTTcQUBqUqicaMXoZ7ILzNAiMO5X427U/OvTidQQS
Wwdo5dakVPbd0fyO4pQZ3qhZpXodegaYye0QLSMb1s4ig0bwUyRotqqszS5bMh6ea13PL/I2cK8o
X+l3qSvHZNE0DqkclTDP3ky+ekd+IGUc5xrbWP48hmZ/U49A3YY4lJdDU1nnYrDHOdzEPEtKzA4C
R8USBYB1W1JYWclpJOCjVxwi81SMIAscYyxeqebLm3pSCRkleTyxQeFZ5ipCNEYVvFd/4+nEfRmm
RXhb0Rz9ZU5W44mORShRsmbL1DBXA5jETYl1dCuLnuT0powaSGoh5QHVqM7S3qKKExZVeDeBvgmg
l3P256UJrVXs0tvV7Hza89sGd5oopv2YjNUZHYJxmZp+VC1jEDqEOGexu8OFZG44RVsrGwD7zmzc
YgP6rkAsMVfjwyRCB2bpzAlnzpHigEDi4VjXO6VWUy6jcsYNh1Jljb8O15umpi68Zsl9GAo2OBqH
zuucTcALmhDJMtYlNylKlm0Yq+NSsgo8RZE7rYl6tT1JgeyVZjBWmcAxz4hThHGNrxJriBKXz01S
iBeKtiQCpG7k/27cNn0YGxKxaUcl+7c/ruWWiYDRqHfjEIDJmky7v+qneLhqnJGAR5yt45o5TCLW
KJ2VIYKsBnbDkNFUkkFlNcRmteOc0qKnUn1JAGU92nPwYGcitYPhjVI7orp6kaNHx64YaN9mP/WP
2AiLhy7Ksq1023xrmpO/jiYBQ12ZhVCV6i7JeEn2VtE+0yOTO3xhKMiDNiYUxU/U+fOesHjW3aUr
VW5fHiJkqoUbXVgJVT2hSPj4oygG4HQuNSmnFPiSiSEHJ+Z02R7J5ZAg3bJkuzLm4E18XPzC6mBN
nhsl1q2ggv1dNt1EHCZ6gEWZkUNplk7OfsbCPTmVLcOieoFwNBF7J+qWCF7sUXdlZPX9nJAjybJH
GkBqTr1rceb/cknJ2ydpjGi0tswzHykjOaKk4FKNp8RVsd/cchCtd7Alk4fepfSf55V1i4dHWZtG
7S4dylrbICFssp4/dgRO0ZyJ7eG6t2xlrQsyOwu3oQ7hoyHS69F4FlmVrvOSCU6NKdlPzOilrRoo
yAw1f435hu+0Rm3u4HNPD0yk4NoKleBKxq17m8dZt7SMxoX5Uua4a3Tru+QsKhdtpPnnaZ+zFW+y
3N1qvjJcg5qbkGGq3WtH1OF9Zpc+bQNimVZzJutfzymRAwYdHK/rASvSRjXASeJ5xU+GyOia2ui4
B4dOD94coh952zgEBHTDBtC9+ai3o/HY1YrxGJvleMmXytqEVaisxihSVkpphIDm/OJigiLxrUAn
sNbANa6VRB8u3+66NLGDFo3jXGmJugHUVfDha+IzoHsCxz+aAYB//UyAUzcDoe1ndhXm69yN5S4b
JeTfKhNLMrIMXmIbdESrjemV74hgJ6h+Jsu3uQwsY7pxFQMTHKWGs4nE8ku7yaHTpXZAvDmlbjxL
eXJFpmW2s8bB+u76dCykrxomEHk+hhTGePxTNV0kwLcvBIVbYpkABKKwSEKWQCG+hUr0UifjcMmi
QAhE6edXdj1NKzA9sIzHphwfVAp48Lgn9LsT2rCNLYBcpGhsF21ix7jUQsp+upbsjTYzz+J+oklo
9wR31OVwVUEhKOCE0xy2q0IhKHrKcF0javGjhSNCd823qdu54OL6BZzI8gJOfC6WObFYd20x5JuW
BYc9UG7TiTQ0eVVRysSRQQBqEKbTxdhj1658q9/omlDGRZXkyl2jqohlKcmzYzaQqKcdy4YaNLya
0sTZNzURikynwwNIvTHfSpGnD2rLdMrKiW21G4kXNTDGCyOjV2r0vfoyArbGnBmRgqkY5P2GDS9m
RPcA5hS0zDqx7b3VG+PakWON4lfrSqqnXVktMheW6kJ2c9pe3ujTDSZ63nm4ogUHUv7lzlCqQC5w
9XfnrQQB6/NHr2Odku6imCrfa0RsbCNVn3AK+da2r6LtfEVXM3puOblmeCmmSCNNIsputSHBue/E
+XoqQ2XL2V5idjNH7WmEhQGdM69uERqONCgi5Szwu+uWdveioDlI+Vd5dSpEP8LIv+ttKhZpPPrn
XEaygk3JygkTr944Tt2vydTWtrALOxJZfHlmQCRpkZ2TRMEOERrkZKL2D8drDeIT0cFW9tPOlZ/N
ZF4N6IQ22tBn876t2lE618gziO76IpyWtaMEHqvVlhvREZZg5AD6ON65ifOdnAgYeLFe0GlrKn/l
9LOzQa/lSnWkssvNkggVu+R6adMY7Kqg4rBi5xdDiZMpJ0wh6YJ8bUWkliNj6lpEQ3H4FLSdiSNL
wM0f26GDoDMVt6VhaRMtGxWVZqaFZ2FsldfYbMvv0CfIWdfGjMJ52f4sO9u6tUVNoTh1sCi2HeQZ
cADJ1kjD1lNCOvGEbFfGteHU0zUwyfq2RJ277rLWJstwgPNqTZa1RlWJ16IOw23qTvGmqxKqcWoa
7WnLj+1CyOrFrafsTCBi9+ihmy4O/yLQe6RE7ZAkZ03+wvZe/Bg4jl8It5XqstbM4qarYkRjWtH2
1z58gZ0cQ3cbQ0bYSKflVcwytVwk9KQo4dc8xRWtiRcjNCoyIBDgXxlCxjc5icIbcOr1D6tmf0UT
PdQuR8KDsLiG9j6hgffoj7bqQ2Zu9Qd1/kJa8CPwUTmhN+R5exZGjnERZo18pPFseuhw+z3mlO4M
tHLyUxqxj21A8HCLVvrXHWEwv7IGq0NnCTA+TVzQdUI0sAdqaZyTEkV1ReGATdZebnDWbdBdjQQn
3evk8q0T3xQJVMguvCyU8TXpbOe7Bs5jrbqTswwCMsbNJo2XMdk3aAggBANcz8J20SoDisGxZiWL
09iLyy5dlMTl8nj52u5HThWrItQnlGjOKmjKCbhcdkfe8fchR10YsMovqNli6HPJCUlE+Vjrsb5K
LALSF6ph464z2RlvC9fK7ooEELacUm1X1z5bqXWQjX5A8yopnVbx9IbccY/jkqW8jjJtaWigOBet
5TxIpcKuXLbOllNMj6Ut8u9TXZEQSuz0mq1i/DwIvbiPq6T6XrblYG9LhSYP4XCAf7ddYfrmIiGa
nsOUzG8wLfZwTYpoeEpqODJ04Pp432nta9A7PTxZB0+06+RnOjvbn3mpWijZ7GZlKcnlVHS07gnB
I6ozId6m51GdJ12J9JlujrykEBhcxmyGFpD542btOGZ1UQdE24N01r7x/v9Ct04fkm+au2hpSy10
X057t2ja6wQ50sogmuNhqBudDxeqQUH64E0DufiFMtiTETf9kzEOt1OrgRG1LRpKSt4LAqvIH5el
MqeptOktOlaUPGFY1d9MNW0ycM3NxgpbFTFP1y5MZjxN0cLYhqgzz7XEGllc6hZRXuZyNo0hqSIw
grfESkjvUEGJEgz2HUcdvieBmz35mY3XO3AfjcHoz9RSaFt+iraqhkreGpHxy06d+qqjqPUSTH63
6RIa29y3Mb5w3anfwivmjqGVh8gVDzX1FW6K7tuPdhcad1FXICtpI17Y2qWPmbOnGkPL3ZiKuZV6
qF1zBnmYYbJXQzlZe9I8Sb/rpbUuwbA8Fy58jrTuHcqEenxpwcqlA6dwitFqdreIp6pl0PU5xI0m
YIerUG/O5E46Y3bjR4p1bVdqgBwImokIO/23CHBPFHFfrmuSB/cAgNsrAmbD89RMzFuDUO48WI7E
TrU/4hztSAgaKGO5XXdEtqK0HdQb328t3CjIFguZFNuRhu6tZMXFh0LHmEAadVun7R10Migy9gyT
DIpxK/v6KXRz24uDkC8WG8E9C6niZbrbnbOVs/e9gYeLJNGE/W+R/24luIRVKssXvYpJhHRkW3EE
qMLkpQDJrZ6JsvXPSFmNV1RLeiZbo921mjKMSwW0n3sJSiXQCE+r4NPqdVGamyqnjLx0wtq9zMc6
vcsz2AGEM7jbkCC3VUkJ687Smlc4Ci29RbYqdaXXe3Xqf4IVz/ZmSgQDmyoOSVWH0VUk8Q4+rZgd
XJ6CNGbP+29iG7EesoC9seFjHWNXmK4od/xstKhdIfLyMaPxfR37nigZ69nmCDLE07lZqzfsoSwq
Z5SJlNYRPw037c+MgkR6q9IppJC1ehX4wutcxf8dEqF3jQBau2kG9zcgKeUh4NW71zQbfz6xLcSZ
ujVRV1jh7AUG+WKrQmBBi0ToGDrnbuHkVAC+LoR+roJS+oWIh5ySUih25Y+lX71x4RJjtwc9EadE
t3X3mFcmL7A43bqExv6Dyr1Os0U18Gw6bxkp7yvNQV2pAnU0wzXSvKu0assJAA0GVrcT7RYxe7wP
K+eIMTWDbfgRYJw7TX8XteFk9T+btyL96Le/cNXA1GhScUFdiQwSZ1KfQ38+UfbU476+u8eq95Dk
LPIGdOKrP3UPbF2CjVJrT7cD4wYwOyW9gDrp16Mca/fwCOcaNsAz9P0fn6Ex+EZrZPRg3tohXexT
j3THAV9cXJ54fscuiOQLDkI6pTlSwD8OlRBcgLyxp7PUV8i1+uLJcoqnry/n1BgHlwO9S7N4W2tP
aPJissixcrKbr4c4OjmYf+gCmYomsN6P10FEqtPXmqy9kg/YBTgpba9hUYDK30ffQ4VWS5V36mzO
QbxFSsUOyMup1s7nV09XVZM6Ku+fO6MKPv4Ohlli9y0g0wQCw5pEcLjE/FOdp0pc7ZLSzVdfX/Tn
+8p4kBlILTc1YR+iRCv2Vs5Y6pWX5QOrlDXeoBm0T6wnn+ci6TeOiZ3bApiH3/jjRbkB4RdkNFQe
tir0nCVpdkXZndvEG5yYikdG4iIcExSrMHXDPpgmLrnb0zg6hcfSltO9bc700b4r6/jh69t25DGR
G4Iam2fFymXMHax3zTGrzBLdre3Cm0hPrNNnxYFHnuTLqPL3X4/0WVjtoOJ+N9RBs5GDqkViNUO1
nUv1DnzBIuttKReDC9W96vLpfsQFuSURyie4w6DEp2JJ+WGxb13LSZPrmBbQVms4S2e1ThWMZL1k
bzpxiTh5UHZBH04Xfspm0KjIAmxh063ZXMl1qkFG2ttdOlz2RUsZayQ7eMlZGx2jFU0nLhSz0eHa
TCuT4j4yelNgrz94/TB1KroLItKbmlA+ukQkXYrO+QaYPXrOCKTetyl8/Tr1f9RDEmxswvZoXFk7
y8IMa9KeEVWZLLX2PvPZHUkCDPMi+1b2zsVEJvQiK5IKGAVMsirCH+7XsY7stgceVHfYfcHAt8uB
uCqPBle/ktLRlowTrzjH2+eJgZYhTtAmDazXKzfol5MdDCuDr4/L3dJQhrlTo77YaLVOfLSOzDVi
XAUKDr5ZfPcP5ppP0iNt2JH7EmN37oSr73jqgxfENarXwdd77+sp97nzq+tw1w2CjDQ0v4ed36ow
uq4vs8JzHYkYNiqydYVm6tzSS7klrV6eh9Rf7hA1Byd420deX9raUL40tDifxRd1MHZK2Fq5x1l3
/N7he3yqKPremcKKX//4Iunyshpx4OF/hz10miNsOscW7EtXUxrFUEEuzmwuVuK83llNEjnLhi4b
pieNyt3Xgx+5TvZV8CPUN+PeoY+DsKCWs2eee41fRFtyFO6CIaDfG5O29KcjATnjfbJRGNnAxQ8W
RA6CTYDfOvU0x3kcx7xfac6AQz3V9T+epmw3EEwhjEKG8YmpVmIuaIOuTWkutv0K54eHSPKq700L
sIr1688vC0DuHFcnjhCwA3J3SaWquCwz0z2lHPOCRgKFXbjGSXPiHn5+AQ0VpSMfLmHS1Tr8fFU0
iMkByrgyxbgLdeWxmpxf8aDfBb11Yg8yv8sf96cMhT7H4tJY8z8xhvFSj7lCN3ZGhekUTNzCTBd2
2gFlzbs9tYpTu9HjI8LqQ8Y2v3SHnxc8fk4xj1iJbp+45TPs1Tu9Tipi5q0UC4l2gpj+ee5DLccp
9bbrYMSDGWk2nDtIZ048pW33Y9p5hpEAs1BPDPN5YzMPg0YGKDe7j0NlVeeoQxTxoz14IsqdYqPn
LQe+iF/Pw89LJaPAXcWZhNeWfePHfcAAXBhihEi8WudYy3Fvmcbtbzu3buJK0lVzpqU+nkolmF3C
n2bJvHDMKRnQCw99tvADpIv+JfFcIgkXfepyFs/LZLoYXFp1hChDdRqxKcFdMJKQABm3pPat2ls5
VMEupZm0AatxN41m9c1tk2QVlCWbg3lbUBWaeYY2xrp3td7yAtmYJ9b4ow9m5vPQESAH4/DB0JcM
U8qbqUeJKl/HoxvvlYFix9cP5ugsm93IrsCx92nLmRkVn5GgSL1c2giHi85TE3Hn2PLUruXYo3Bh
T/MJsuD9HUwA04ajXlY5CxEsGbrZfoiJSR02X1/NsRUIdzZ6RGzVqL7me/puuznFqjYErZKgIGiw
mtl8pgazJQ6sSV9g2//5LpozIzJRPhl4I/GQfxzOkRFQ1pBXdEz8X/O9q4lCy2r/8eurOvbyzH5B
G0kuB4PDaTw0wHWmgpcnjUznOhkFdXbf/EXFtdjUgen87NMy3qFiOcWoP7bmvdnd53CZz4ce6icq
CIQu8QI8OzJXnufUoTJ+KOPplhdx+/VlHpvwHHs0JvtMqz+8mynXaFtlk3jgNZNtBuruptdiZfX1
KIc5DQhXOYNzMzU+R7j5Dw/8bqsNrUndzXPaXn2IQrXYQO1BlBLrXUqB3u7vY6Jalm0hu6tqzJNL
M7X1begg7JrGkmz5AI6FqHz8ar1DU7Zt41On28N4yr9+SZsTNm8m2PLDjU/tN6oJB5yvzWBQK5TV
s5AuvmzdaXaR7TxCESpJuAqpZOZ69JD0XbPz3eIJePASMpLcl4RS7agiuQvSUUlDC7mOr2/kkXeN
xhZbUNsmPIT94cfJn5JPFUcD2+0+n36VoEY3aomiyk9pYo/PX491ZCKKN6EhgZcoZQ9P35rA+ojD
na29L36pFBxWmak+NyOcD9vNZ9KIJU/sMI68dEJQtmdHwxfrk765q9NxqIOCy4vN74ShKkuN1j3F
zHpa6MR+31d1X61oyXben1+rEMg5qUixQTxcKQmeRHPkNIXHWe0SSl+NPDe9QZYMBC0JHkbHPJUR
dOxJsmWjDIA32WUp+/gkeVd62RhV4SmERCyxqNGazHV501du5mUWB+mvr/DIN4cLZA8FyRLh6tsb
+m6VzvzaCKOCWzuQPIfpkzx3tSqqlY4s7p8MBW1Td4iHQHR38EEobUKxspwjmnCL/BovIiGBtrTO
Inj9J5avY3NU54WafQiz5Fn7eBc7dDH5RGXAa7L2rg2LV9Os7kAX1IsoqG6cFgzNn99G3VU1zcTh
TnHl4LGJgYK71ky5N2kTQh+7/1a39aqkDnBioCMLM9piErN1Ks/YOObn+e55lVOPDMTnCJgG5iMB
Iltnqu5OXIvOzzjY0H8YY56j78ZwCV0nTJYxUPUKuJtRuW/MxvymtRA7/bQnuTBQydPp63LVWHFw
X/QAeqAINtsWZxPFvxZJVA60uIDnuVYIPQIhPKbEZ8t6D4oqvNFcyHf52Pk//FLNt1mDQoPT7bhE
C+fvQtNBra0OsPVFjWAPs5f4NrkZiotcNMmmyJp6q3YwTDhADcEVfiZ2h0UEExC77FU42OEWBsq4
S010Wp0eZhedUneek7h3UZE0S+5wssmoFdWLELWQh0IJZkg/lWu/DU0Ug8kcpajPWaBxu/n69h6b
m4awbcE8IU37cP0kdBTqksXcRCv4XA3y2QnLK0NXNoQqrH2lL/7Ba8eem80e5XuU8QfvghmOeaUH
Y+7haJ1rTpe9lux6mZ/YvH72FxChjn2Cwh81gk+hUsaQhNBvXLh0anJTllGNcMj5WZH+UgQXdKWX
rak9BXV+4sh0SLWcv86MS5WWO8rh+nBD5pZZhUPYpCZSjNP3EDjdwqkN5Qa1u5quaZxzxqnMzF/L
pKtWKcwGOlw5C3mldTsTqa8Z98pOV1tlI6SRL33UYUy4covxgzaWG7+YAp9uP6AHSuwpWLmSjIkI
M/kqEP6tlhgN8VAmZDoZG8lCwnhcx/w+JIaWrwi/xTWYSzyeQ19tcHTx/2eTuQwbGa9txdYeKt08
9SiOrekW4CHbxY/AA5kf1bv3N1IbM8sTEIGqfB6xTCzGHpasAOn99Uw+tha9G+dwY9SVHfRHFwqx
Y86GQuoNS4gX668HOfZBtMgGp69Av81yDr4aaqWVRWXUuUfTyVmOZr7gMP5YJBjTw2Y8YTo7Ohj1
Ss4sQKY+bXutmsUoT3lXlJDUcWKLtp1RbpCBIaiU0Ynbd2whsCj787XAsvdp85uOo27FSCm8Oq5v
tMa2lsIfH4u0fpUR5q3QOnEnxbF5YXNK4gCLlwoG88d5MTVlyv1lnxYPaYjVQxN7Z6r7nUYtflXo
SgiNoZLLoXT1b5FKYswYoGwOiggiXuAA0C+M8d7GF4BG2w+M6cT9OPrrsSBSRqJ+i4/n469H/k8D
tJ9tTl+Vr7obPIRad5vqNJO/nlFHx7HniDiOv7Nv5uM4TaeQHY8ox+MkWlLNkc/5qJDF09YnPqTH
tq0Up3CvqfM/7IP3UCe/0iQdPvMkwvGwQefW5zc1uWaxI66Aht1lqXuiUHFsAr8b8nDDGk9GilBH
zTxwOltoBq+ukaJwtfZ10Z04c+jH5i8nUppkbB85Cx+UEeTs+Z8GO2OZ0cYnGZa/iWQHRJoKZ0n5
NlgqpQJHnxV5HVWz4FgRszyrRvnjds0jcKvw0a+cxms1ZMtYWzAbhLK+BXZbrJw8JXbbb5zNYPfO
g2OyasL9bVBNKM0AEWYubRbab7XX0LQTDzqU6lNctJd4Ess1JvjXyOn6RTbq0brNRu22RHnJx14z
T8ymY3fBnZ26lDiYt4cN2DQtGxC1JTu/ciJ4dxILqRqPZmmeUTOFRXwyefPYI57tGTgGbYqth7e9
jEVAahSvSVS5IDTLti430G2dlR745A01szD16xfmyCXyXZ/dxsSzsnM/2Ny61ugA6dRTLyGNYx3W
ozWnFE3eGBfNY0yWFqCm8OXrMd/0GgebULQ3GjeVV5Sj7cHsCpQxpTObZp6VTe4y7Fvr1ghFt8z1
0TwLizR9KLWMPF8DydabTtkJZfqQtaR4SLREW6WHuHziWYsjRUxUCVR95lUbhPbB0hEM5lT6HW90
M/no2Ui536BKIyben1O2bEtfMFOQT5np2gUctBzpySC/NsTq67ujH1nDZl84cgxY4zTaDn4RFWmE
lckow7cc67RGZnFzpKfTDQLL3Dzjcdk7GSNJxGfRLIKUIrJQMvqocPm6617vVdKjffV7SGA7IU+T
+p1tcb4Ne6YUtgkgwoNrbtHlvgKeW7Bkd2vDisM1gkFjVSu59EKrstdEV8/BaGdakei3iZ4PV7y2
OFFGXoTH0GndfaraP9R2TLyvb8Cx66cDhgfdnjv0h4Ujym1x2kid60+T4TbEnwvff4geI6GEmz8f
CvUlWgPc6Hw2Dr6aNJ2qCthN5rlwDFdl5cyWnqFM9m6YBo9fj/X23A5n/Vz91Tm98hk8PP7nipW2
fRZxOOhMH2YiDWMcH5Mhtn5ZdKvcTsWZKFT/Wg5af6lpSnCjScVdGnpabstcrf/a1f8R5/Qi+lkX
TfFb/tf8134SF18Dj5BvTLj//be7AvFp9uUf2b4WcxZTc/iHPvzY5r/f/nPwWszIhA//sn4DL9y0
r/X47bVBw/9vLN38J/+v//HvUKgTnFNyRzXeqf+gBD7hGx5eYcTk8j3A4e+/8zfAwRb/MlghCIBQ
BcchU2ct+XeyiP4vgwKPOr+9b3w9Rvo7T8oghIqdLhtQmxfb0Gdd0t9YPkP7F7si6OPGTEWgCftH
BId51r6baBQOiJ6Ew8pEo9+EtOzjJsiBoTyRxmF62HQxkYYhKbkB5oZ39+T6r5/3HrH3aQfEdo5r
fMNEoOg6zKL22w70ZRH4eIA5ePGNJ4zXGfziKZfdcI1ChBBggFr1qphk+ePrsefn9f4SUamhyLDw
gZOrzHn7sAFBJzAd9MRxvcBwyTuFgdqvukEwrqkm32KhFc+IcEt30eSRvmqmMXod2I4j968tHayZ
mNX9cbSVHUIZvVJg5idFiEENeeoyTn1A7GNdkgcSTBdtY/vfMhTbq39wEShpkFWR/8VEOvj2qrVR
6pmcXK+aBm2N1mPaZArl5Mjux/tKV7ulLxJbXysZOVEz7f9H77bOyiwCIKySyN5rC0jc9ew9Wqgd
eQGuG04b/HXpDi1OsmGTJO6yqJWbMZ9kvFCyP01+fnsOfKnmqhiio0/188bQ23bEi075h8hEoqeB
mnc1SECIdl/frU9bI544OyN0OOxJTTZJHye1CcMM9g0jdSjdvFHiepGWU+1rqVc3qhmcivI9eIne
rox+k4OcnqbMpxOLJpo8z5SU8YKovmFFAaGGmfVEiePTtw63girQKVKkpSdzqDFya5aLFPuqVwPh
gxcU/y6xG3lJ49x9ffvecBrvFoX5etBBoK3jxYODcbgoxAE1q5456GmTSHeTTfoObJRoO448uDHT
UfehKmhoTUqYVJ3pnHOiTLAxCv9b2ObTWUadFXPubFO0OjYepYiI6+wEjsEgLf19kebjNmJu3pOo
ikoRJKKhgPToJyybAYMMpaGtaSlG4M6t5hH/bHRi5/BX0f7DVdIeRDBJsYpjCyG/83b3XXnEJ/my
Dad6oJugCyh7Rb+zA7/ZKVVNaTFpyHcnOGJIa2VlJmm9YPLGXppRCOxEKTcJtIRLkF2YM2SuAxfP
1UehJdGl6Y7Gk02n6NGsrDVZIdqtcOlbA6BKASxbfnqnqYm7wTlCFagLh/swyLVVTjrZFm2YiLvg
ieUM7og0TahNmomJuijO+LqEHuZ+ba0HVuQp2ESQgkfZOtTYFzR64dzVvol9XSEINRdVKOGV+D9D
2KfLrEmCHce07qpMRQ8bBmzVeeaQ4d35806V7AN8lgjqrdYq0qWE3OkldZE8yP8h70y241auNf1E
8ELfTAFkJrMhKSYbkZxgUZSEPhDoA3j6+4G2bx0fu+xbNatVQ0mkMtFExN7//pteoM3CK07Ui3bv
BHL5uSxLT1ZSNuzScrAOToKOIixcHBfWUrqx5q0wgzNLf4KRVH/30ox8PaI9EOTrCFuioMsId50b
9DeNyNSr54sy9mrMOpwgwBR6KdRlbQP33q1KRNt+LoLQqvP5fsRe8IcoKudDb/udpoKCMIHyl1Zq
/q0mKnxU0zzdaV53IhWFb+0aLWGxwVFNmrhrEklwsBLzgF0loiZIFQddFpftfsZNxeSO+SdGWA2o
tlFbb07mziHeC/oxLWvi+xK5PGtVORDOgW3YHcg2uamE35lYp9GhFvVsHUwk9Mdxta2PDoXIN1wu
e3FEHBxEaBmtp9Lei0zyRkxQAcfWsj6atmv2ZWZqsSUVEQ6NKbpnsfToGpDm8GhUEfYKBv+8jPss
sx7MpB537G3TcUACGC6YBPpYM5g/sa6o48415AOqgtsc9X2kYcUZT2k1xkS8bPj2QICrrp+kWTCZ
SG2bTHmVIrFNb2ki3jNsFm6yYdCvCRZiu6Jzv2Ni+GHWQsQzGtVIK9zgZaAa3VtdZ1w8Nc4n4ZRB
2ExIGvAew1e2aDXkiki5PERhbFEj9qa1KCK7aEga8tPgUPZKRIvmJ2+azBa+jEr2GeBplJWbOq/T
24mXa5q9mGMI79nUdwmEmPM8HlPXPHQEbp2dtUH7pDWo1JSzfBRzrz+MDIn9UCxwXUKMG0mBpDpm
m+qN9rwshn3MhKpuDAv/cFI5jIOrLQ22FkGL2QSKBFwnw8zLiNEdcGxTeiE+u8lOX4vEGH+6KFFf
rambT7XvT8eSxIdwSiVSMh0r83Yok8hJ9Ok4GqwvFGkyHAH1UivUC683jiIPvLVlOg3Xs9bTejOb
w25j0sUe8k92xA1H7mxU9lGxjEkYkLN5MBgMXHK1hbTr9RA6DX/cbCdknJO4cgokWZpI05eD5kKY
aXvGGLiNLL+noZubO31Jq5iBygT9Gze4rjFLrOLpkvOUk8NY6ShMfZQ7EqXNHVfcnTyX/JeZGUts
ZvpyXge9/74Gs30PI16/W3Id8VmZwEsNdfqPX0bBfDCo8NJZiqL7zDyV7t0m916yfBAXQdf8pOnU
F1Ujs/uSSXiUQADmvMA73EXoxrfDEwSaFhggVrhuecXPsX0tCquMS8Quca5RF2qOXA5E0ZBNbLfl
HoHU+NIMfXUkELv/uWqZflMVNntPt1neScovt2qS0xqQYwmoKu+sDEmu15NJucwWYdvoVcq4aDaN
ELzZ3Yptxj32l3PsoELetRCOdyCm6f2KcLwPS3vld8yg6r+TWe3gAmLxTcox0A/TBEEq0TAVDgeL
YUA0lIWzs4LMuTfYGKJV9BjlD+Z6oxfQjvG1TE7UKg4ZHW4QUkd2p8nlfTWsbPlNDTy95FPHvt6Y
7amAV0b2G8jtwcBB45AIzTkPXaNdFz4gi7WKk3dNPDKYMcZx3mf0s2mYuNlw1T2CqxIImtdON9sY
NMZ4ZRJ07ktcSrypbQ49xikz6lndOjtKPwwtmwLGARbDsdbey6xVx7o0N/CuyPaNlWS7RoxPWA2S
yz6AfDvl7Oy8XP/WJSKYMKdMp0MnpyU7cPu98rPDeCy74LHcTrzNzhAOSoxLONS4BnWW2SWXgLBY
yc669Cn+uqad3anZVPX6f9Gw/g9a0f9ZT/v/UMNqwrmgkPnfN6y3H91SfYiff+xY//ZLf+9Y6T3B
2jZuHvNPptmU13/vWIO/AJcjlIFLuhHTKFH/VwAylGQq+8DeZk1wr/+7YbW8vwB+Mw+EHbR1u/zT
3xv2v7WO9PogCrT6/6KV/HNtH2ycrs3VCwYBc60/wzBCx0aqzkqc+lLDWUMiwMUFAvLyXGOmizyX
RfaH2/MvPvDPxT0f6FmeD8TKN/9nCtQAQxHna3e5UYr5jK5NOFK4bKP//lO2GcAfi1E+BRnp5jrn
gAb8E5o7QC2dyBlXf+1WWBHtQ9l0gHmezT6tzdtRxp5rt4V27WdPPf/7j3eCP0Oa2xQEpAntDouO
e7t10X+ohmnNfIzeveEGK9NK7RXCin3lscVOMPuJQ+KQIJoKeBP1bm2EMrHYIjuZA+33dGKPYAjs
hk3i48AzE0WCozFCen+dy/1ilvwsBQuB8ValrVOoJJY2+N/0W3PqL8tvRuHllfz5Ml4R0d9kNs49
iee2JyhnLVHV7XJIpnrLjE+NhUKpBYwLYQixwbaKOHfLlHfdDEsSgy58QCz225m0wg+/JhkVdTJH
Y0Ym3H4S1fRSjXQffaHEJTEw2sJPgsCXmeLrkiU6fK18kW9GqvOLs8qDS9/ScTNCSq7B5NVDPPVS
b47cKlHjU6zzuwloIeVfOnGZ+tYtYUpgPi3N4seeAipw0BPDIwjom/A+QBXu0SY2Fd0pfEikxcXA
WdC7SFlWSxGnvR1JVpJ3p3I024e+HjjURk8d3JZ27OuYMqxhein0enppi9V95OlwnDEQ3QnTqaKR
GuFzaTh2Uw+oPJ/F8ozlXPOGXTtPpgUgvHE3Uzhv7vCsGERwcbG2vyEya/k9j5S6esevkPLWf3eR
FV8SldpHnCaMp7Fawfq/or6bJrjUNSOBmNgUuwjtGs05UX6rjnlgBSAiOQlnwUHbtMRLSjdDo22k
yEvNpvu0E/6YljRoRHtBlrnRFJWMsMcWK2iWs68Ny8HNx+rY+Dzcxdu6wrGosri3sGak7KYQkBuc
Mayc6p6tqYNmJOU1RXO2d/2svbNR7GDem06/Sp0KgbDrjeyh62waRvOeq3Z6gZ+33gbtxH/FUXyQ
uP+HhuKKg1mTd0m5LXatde61lGLKDrgW1y6CcAiyOpoQwRN6lwnqoZLejdwY+z61eRJfxY4t5BLX
GobBMRZp3FfKvA+vCpwIW+CiiAel0f81WZJcXT1pPwF+1lsxZ8uzCfJ7EJhmAD5R9xDxMPykjjCe
MDuf42xzIPiqMvqU50iIDrd6e0UroaZfC5EF+xV1fhq2K0/CdlE+k5i1/MZqWL5VqZecqr58m7V+
PGV5RyKm/5sWhfY812rquz6pTdJknHcsstotbGF8SU3eTYwCyvxg4uUR2zaJ8Ik3/SIlVN7JwuGl
VOYUqYwHhQ3QsE9aW97L2rLvg2F27sclMZ5E3su30XGbd6wWeFs9TJ06EwzQQv98LnARe1T+4kvs
hHx8hsQMLOfjW8M8Y9HQEQdl/HVxfsYi6Jteu6pFiiFWxAreQivqv0vmxtelGQyf8px3zyDe8KSq
oo7cWc9vhgawNVKJyg94+3SfYBa6z1tbjh56eL99NXLsafC5AkYjPbW9G1zsiMzvsIWM0n2bGprH
z7wb7bccH4EyBV1ahY0ucNXEDmXYPN4uLdXYaU6t0b7iJISnDIXOs4GVVUTaGaGjhqPQubWru+c9
dPRwgEUmwkYNbE2juBubwAzxswhOtlZ+owgnQFOvrpoz3tm1rPc4HjgPawf5wfGUddc56WPiJHc1
yvxYpw69Sc01O9Zm+dzDtN3hvj3uRnv5kfv0jfY0/qTZrI+aSD+X0c6O2QqBURijvDTYfe8qZ1IR
E/3hp4FLyi7N+zNWG8keeayBx1QZxMbS4ebnOaQQ40RyZ68Y3WgB9V/UUWm7hX/SSnI5cxCDNZRB
0h4RiiCr1ZQd4QLghHVeQqKpq+p3Kld6V0gvHlaANrCALa4LsbQ7s9aCc4Hn3C2cshmfBRYsRkXG
OV8QVo+Bnx5XeGCRaUz6URfadFN72OHIwfJ3zUyhKrc0xElsxnwUxJGp1cS1O3lwM6bGo1UTRAkb
oL8YIrCqncm9/+zlPLuRwxwVqR3xGETLVcN0gwGNt3eN+V3genkZe7OKBH0TosPAgNYTEKbkJFta
XdJ/Ws08HlIn5cwDbvT3+J9MYUbq1a4QbnsFoDYwYin7PTKjDMvvUiOFxFfvvjOhSLRKdRZqE8RX
ZfmGtr7xIle5yyEgzH6OoGD7MQHByCEm22KkAYxJdebv7dGxvCPEGFOPFzYRLLxKCfooWVe3dtXL
87wmuLWZunmE5N/HVpaxqvpdmiKSETAEwmUwnJN0O/W8zhaO55vjFqzJm7mKrUlrTkbnrh+y0h3o
IfX6JAvZYCLVBzdqdYJjPSbLN7Kn13hKxvZUkkARuWaFR4FbTmFF6uoO3Nd+8Ho4UU2y0eTTDv8e
Xfr7VpsgBWJ9Gc6ORZ5NYBWvnpti7qQvMyEmC14iwaTtyR5pUHbWD5WhcZZjaXrMc0tZIVK/ONXS
4AVvSONQ5bzxIHbZ0Z8UluxzYt82UFXysJy1az0o/85o1+VECi79FUEAuPO1blf/stP2Dr28dwkU
Qu3Inmf6qQqhE6qSrLyV/WocJfTAloQctztXZAa/jYW32MSQzOhJTcKwztmSln5UGIX+S+J/URHP
I1wV6wW4wNq2QSRrrTuMRLG9zdUInEHzWVzsIe0/a6tw9VujtycoowaZvc4bDhY6Xsdlj/FLI5BN
aEowucic6UdTGE00VPNWF8j2AaOIKkZdLpodrnL5mbwV0CX8dAqiEs06OyL47i5B2wMvdFjoEwQE
ZoitDiFCZJg2zv1iJvnNmgn5w5S+1kedXMrt2ejhV4n01ZNXCAEw2exJPzGZd/hCDj/9PJkl5D5m
vnsdtDTFEdOnm60qH8KrllwlNDnWQEmZ4CW6TOLUYSLhZTnBs5l07ldM065aIyWXm1vZfsTXHmMc
GtaopsjLyEVS8oeSI3TMDHUAVlWczuh4Se/4Kr7a3DSesDjqf0psZ/3YJFWUOrne6A9qWQCtc+k+
Krz4gUgoGLFjIwEjLjKzOsI0E5cKv7IbW2ceVG/IxNAVaUHopolDVOb0HO5BTdstNtwhN62UgHUq
DeG48i5dv75F0L5aBIbkYdK226a81svvAcfbEMiH8iRoW+Mb26D4aUmXsa2WMp7vKRNPbspGFNYk
0sabU9ohI8cW8ETn2Rmt5otIr5mMpLW7nHUC+XbZOM1xurmYNBRbbwgj66hftvIXu4s3b1AVJnpc
AkwElEK1Wn77i8wPak2anSjyIDTyGR/GBZzKDBtpVdg9k5r375sI489jvq2HAE1HBosIGmv4rXf7
Yw/RWE0tEY/d2DnVdoRPhXP/hSylA76Di00RlgVczZDq6puXos0tegdLqqF5T4E5rth0tafempaz
mGX7Oo62fY9/qHqeqXL3/+HL/pndvH3ZzbADYjgSnn/y3GbEX3qTZvU3Wm6RaNcL93GRvNy6UZC+
MvKk2f55qMbEW4atJNJ0zoZTKVTzUUhqVQ/bxtt//6W+SDv/2AZu8wgbEiCEQPufiIcpBjNmkKf9
TV1brRVBbN/cU8aWCFcNpKUbs5jtcN0tsBHI8xipWgrJeMvLtqWBLOhagJWd0N3jM584zU/iLbwH
3wVhDAYsexOta0j5G5z/KOH5V/3jX5++t82n/sxE6cygbNJUG25SDRArgW+2tUKeiFoyFfEQ3Vo7
q/XjiUX53i8dNlezYKGNg/Mfm9l/4ucwjEOztAk18ebc2M7/+CKSEIwGdcHVQ2FZFJHnIotdWxOa
2SyK3SlHShxklvd7MpfpBqvXdK8Z5odfyO84SlqwoymXNGdO4xEp+S3QnP02Sezg8tUqz7peW+8m
4kSF94kU0xnnNf+YuEYZk62BM6liQddsJTdpgEWwbmRYHamaerWqgwsF5LoXylrOCC4Yg7YIjptt
hzGxXL5Oaec+ao63/K79VMcKXtgMxqyePRYvd+reuamOI9nWxyxpqNlplulL0pIfWu3tbe1wUcWZ
aavVlVjbB4HQmD0Fc6jYxlX2lWw2skeIPHu0rVLugN8JJEUTcinGlhrUAHLACXR6SVctxRbAMav3
zhpL9zRUq0c4SjKn3KQ8TzmS+kHtnLTM9GiUVlLhOkbuM0Z72FFrvR1zQcJ8aRJshvvWwuDOc9cq
PRJyk8ekRfMXCQV9Eus97MIoyVEoTgi5fPMMJbfH88ois96eqek7PStETGocV5yKgHgpNmGcexWl
vKcwbdUWivyvYS/dN1usb/ffdQzzIpzRnKh3NDwd60AiMu1o3PzMlj+WYiz3XT7kh3GiutLLmdWx
DjQUmXDHlyGv3r2O/nFVhnzz58rK427JJ5pK7l2wGXCd1nUjTTmZdsWNzDoaHBwPJUnXhwQBooiI
rqqOg+M3H2rRmg+bFHjq/cok6FjxPK3B777RifqXpdWxHJxp+t1K9N+ZtPXfSYqxjrpiZxy23k5k
QUV2/EAoj71WagrxrBn3xprWR2YzdC3Cs0DWc++B6ez4ohujuTMFzAZnQ79xjFnO0qB7jjuxcgIM
jdGTaAOg1LaVvBu8HAMxEmuajyERMAj9gc4osW1soBpnZY30+ghvQxn846Cv7WcjYBj4NSN8HHUJ
RMqB3CF+t6dWtqByDKixwQ62IzSr2bqdhdjoqjbbV7S7/sWYgVmwuA4uqSG7U7544uIS2nqAJLsc
hG46UeOL6QXuLu39vDDt3hAgqLXyri7Bh7ycNhkW7frbZ5Wuu9xf5RsB7N8m5ckfwzjQbjPnvyc9
HhPGOYNSbfOfCm0rnLdvrewAEMtnrNpFDUTVy2LN1dHYlqrazhqdoUUsAUvenVZhlN/VBSZ0kEx3
45SDjGzNa650GvhM2XAKRMeTaQpKka+zWIqUGSdYz0LOlM+rStELrmOB3AOscnWVx5AlxZZYbdPz
r9eQfAsKiVTgma1GDQPRbQ5u9Uv78IX4CIvXB/MUMtbxPg0xgq2O2J3mpMNSUFUQcy8jo9zoCx7Q
iLv+MaAjJjHYZsF/AXlrjvdzKQGE5iz7TRbncruy3ESklpRiZN5M5/0U9EqXqry2Es1OSAEcbCbh
TD8aTH7bEV9UHFl5xOlMlJ7CCzuEaG4C4qwsQVQAQHDMIoD/Sp1xx6g1O9KTgDMA7uadwOU8IkPD
wf8W42cKHr0D+Jr675AUQQSxnW1fV8sGKHOGuf0k5MPc9fqwPAsMG8PE7Kqjtk2SGI+wrdHRJ6cv
pAYLLj30OW66SKw5/1NtAva0DKTxJObjv/CbrwNblWC3osnso6Zrv3RYKJTLnsbjq2qKpa9R2l9f
zRzoUtpAQ6KB16AblbjIbZKGp4J/8Ye+fW0MMDSjT8HU0JuKy1xb2f1k02lFqT6wuWtm/xOTleZd
pRx4DDeDy+yxzzZzxi3MnLb71HG/x4yuJMGzp33a9S7lOTmIwWV7n9tu24Zx2ujPVV+BSAY5s7Wi
7Ph1DvTlnMO7eso21JsaaTsFaNDeDZ9Xwl7H/ufYJs1HZiTpvTcSPmp02/uD5SYemuCQlcvlJBv6
9VXe+hslCI/S8lozO96vNseki37p6etsMLY54ein2b3Hlg/uBIg6aY5976Waw1ExB/6lDSiJ2qU0
n5glTlFQ487tNlTCNu1wlLmF8SRdC93YyIMMAIiPS6WLC+kI4uKYFLH19gwySoS3HpWe3HdrQ3E+
G+xmdjq9LDNlsizB5/SmMp++SEoJ+9grvCb5BtMrOYFfuNEXJDgNgJY+xsSnlGzouFCUID27iYxo
c8p96ivekEZRKDGyDmsWNm6IFihoU7EoFn1q3sklA6CewYytPKFVGCicLZfJG6QUZrb59vJ8bbMK
FssB5Gg5dwQ8f6erXySZ3vXWT/QKFKqz1LcO0OZZelTt2joDWUwkTd57OttbNrGOysDi1HInSY9n
8a5penJVM3iZWak6PwrbaU+zrAARt61yoxvuutIq78mfILLCzR1QL1zprTbgfMiATFiTHeg0LgLL
LV4DxpPVeuMvTyTqMPDVQ0GxaUV5QBNCHrX8gckxJUfbr7AwBIssl8xHsaZ/nyaHu7Z6mnUkCZKl
MpXcg6FiCC2muX2lKinscFQLPqx4XAbULaOT381YqRvh3FJONE1CNbtMSzyNPPDFx/CBOWNy/frj
18Jc6oIjRjPG7tOZOVMlh8oREoD6Rp7Csq8zKHjN3LCgcyrc1HPYZCDHpve29NAErE6+3kp3pSOb
vYVok/L3aK+Nu8t6hspfQLHX4/lJNsN13qqARbW0ZCSojweABK4Y+k9V4Ijo229rl2ZYTW68MQCV
3eh4fFjZjP5pSIa/CfP+j7i1/1+OKvG/Ycr0b0aVuRC/+mb4+IdZ5V9/6++R1wwk/a3fxO/JgmD6
h1ll4P3FtHymlz56cWSPLp/1d3Zt8BcmeXRahC2hk4dQ99/DShtOLl0V87EtPSjYiLd/Gk7+u2El
+vA/sU8xwmN2CMPMgxcIm+HLuO8PPbHFAVqjJ9TPQtearGXcbrtaTCWVgBwbSu5KItSacLEmAlAU
GlnAZ7BMHEAraqYajljI9KC/ZXFBXwXHKNbvaq1s+8UI8AuK5974Qc2cPteK0z5PXef7ROF2C9w6
fFvh8Sf7vCnQpzd4gd2mM/8YTa4K5EErMrxfhkKcMbNbb2pFWgoMyR/aDPZ21pkpgI675nCZCsDZ
Z6tMRu/SYwpPvV+5M1Gddm1t2TEYPwmzV9jiNnpIf79fFyCVteyX2Op0K8o8a3xDsj8DfI5M8W5L
K+f8agkMlvuSZ/sIWl+7kWWKpkQ1keTPRrbgiJxR4UVdXkzukakztRXN66Nrj+axJ2L5YKqCmJJg
2REssk0h2xx/kck0D4WZPy1sjd/cwkuKG37EugURS2qGLmzw0PUQ/HY2rqaDoX2okmQfX4fCRS3t
aZA3AmuHbRmp0hO7XbxmXuvsVlvrr4ZeObdT4KidMYyecRyJAm7O0HKTl7X2vUfpOclTNyymf+yS
wdJI+pROxdFt922ES3fxOrH3oIQ2vahEyco9kFPYYlt7csmQPA/S416ONZxCTpiEQdqyzGfq2dQn
31FmUC/c9dqK1M71Q0IWxk1pgEIPHeoic5hh48yriD0fYhrWr22x95ckubGb2nyVq0U1vvba+hRU
XmUTYz57+Y2t6X71kndo4Z8Zt0AL2I2CCkbb4QQb9P3BHItF74+UGMTY1rDvcuMj7dkgeXLYvDso
a3d1b0cmBeMd4Q7zTukJ3OlAGMd8WjFpTtwdWGsVlWUzkzK+sVVsAkEpB+BRdSPISrjZ52Fo7JgM
ITA4BqlkDiQ076lUoLCOeUzH7tbZTOhXYmyJ0ruz27VFSoxXuiLSyivFXrhl/6xp2YOCihB2fMw+
XRWc9ml5M/SZLBQvT/bJtDzqeEmTnoNEFRSvuLS1RhimY5f7IWnNU4CqJSx7o9/1GuLS2lY5+QRV
s5/9Bny1WtajDp+PB1SZzyR7wGH3mW4YqRcSRKNFNq7B+0Z4w3CCKFEcSWb90TVddepIYzq3rjfG
61rjvAhKQDRI1EO73Nsrsbmlxuik1kSUtho54RIgiqSC7JfDoUaby8AgaSSCZZ3az+6Am+GCAGSM
SwrlSiGIZXB9oHt5HHICRo0mh2lvOkSSdoXxjW9fnAtn0bowUYM8GpY1/qKaWGIfT/I9NM35piXZ
ufSkhTH/ChGgbY9idh5bq7qSpXRZjeQQdKO+hS895S5G5HpP2Go6X/uA8mStTRJ7l10K8oxHdxb5
k/3ct+3BX9RtwQgINGFU+05W5LokK2qkxH5xLcTVOFL3sVFXvyqbdsAUM6k4OOA/5hqC09YwomCg
PAK0YhPM/VtbEsZQ1Jjegv4YIRoK+4EEFrGrVSciL5hm3i2J/o3n4R7Mvu4jLQvGG7+rPlcPHQ3T
kuBEkgKujB0ReLgQFndZMBQc/Sh7WBXGQ5q1DxOO45rPRa2NuFO+XXxU225WjoknQ7+AiCilaV9z
s3VPjRyyiAfW7SWy2TevzV6JKWMCYqrfBKUbN6kHq7PPYQEDc2BvoCXBaVzIUu/Z1h8GvPhDMOXg
WBbeNXG7h3ka9D3bhH9uCm32ItJRhu/sK2NsTl4yhdIairvCHKcI/uFw0HlQe71pxzsndbKrpVRw
2yn9unbaAC+bxIHUJBEtGO+Jqt5jSE3eTyE9jNn6a4/rP3dogxP1Yg8Fz+LrNfZHZudAQxmnQwsl
sjRwGiyGp0qU7t6s1+RxLudbCVk6Utj8P3ta8ewAeIWVNn30a/DqpsycmPfyHo+SuXvF1Muc95T1
x8YtDoFZJNzF1r4zjbQ9zH73KXBJ3znd2t+gJH2S+KzxApcgV3VWkUbfzvpdZljXMZCXqs9e3JKc
BRMwVG/sJWSn3bla8G4Hcx9ZthOV214qNf+b31uHPi/UVfHoyNGZMFRhG/XfyyQ1Xiu8lqGmeSw1
zYYi7E233jLtCFE44fI47J2pNc8do82wnSRZTDAGsqhcKv9QqXE9Zs1wM0gM7/OkPFAR50Ry4+2T
M7fiMIMJmARe6M/ADQRljPYngR3D1rhq/t0C6f0hq7emzevaW6ZCWrTME1FOhZP9wPCNVGVzvKic
mGwxV8+GPd0I5nrBtHKwFkGwM7vhkeC5uzb36s9JCUwvl1dCv6vdxPW4qmzKCPVofp4W4KmuNvY2
OLEZ0S6ud4oWGrwtaWVMDrhxdnIn3S+atYT9mFpvSTNK8gINIiu0boAy6ZfsTFNtiW+pNvVM8zpg
FbrgSMIvIQOUWBTDMORejHK8mOAfUW6a8iYYdcYjlvacafN2PAOqNnAgNd+5m3XPfIG5Le71VE4q
tpcKCjeiwWK8ikLzj0Ffric1Wc+20uUPnDtI+EhqaLB7YqJoIy247AgG7AaEinPW3E1D8Flr0zcj
8/JosOfh2jvi2yw0LWpLjOkXvOZL5IF9Z3X7UbnNiVH8d79HHK1yIqk0Y9gZXF5sgpu+s73aN7Ox
JB/FanS7GRH3EdNZc1c0U3ZwablCn+COqC5tLraf3oIUhwCh+9othvjli4T8ECJx9n+7uFvFoyPN
EGJ89dH43vLozZoblqP/ZpWOjODReC+0hnmsJS6B5l5WPAEi6aGa9U1SimTTshTh4va2iHhgRcgI
lAbWBxQoAr5eCuuSuOufsit/LLrmXYNATN+tfiK4YszuaNaceEGUTUajNABB887OolV2RGDrXXXu
17WhqR9tagSR3hpmdQOxuYwAo2mAxqC5+uB3QMt+Nj7AN/BvVs9tv2tIksglUE9TjwiW+CuSoQJm
mxfYNj/b0v9kd6720PmDmBS98TkvjLMrrOAgg26JnVnLd4l0OSCQjMcD8VhRRrSmiLSmMO8E7XiE
qV97KYyeTJWhXy61ja5nbgzFJLH9rFJ8M4nAy5mzycl4ZIPs1c4imN4P3WHOqoMt0n5PaHfJ4dVr
4q0l0fgM8ubsUYXlL/rcWcgo/MrHQ91eLMLILOOHqBz3B8EkzNPXLccrgRmuGRUFw8g9N6Hh0m8y
5rPr6eSNqwagocfCInudRmVLQxcdDDQw27im8ogyqHVpFtWJARZ57sbZ25f1lD6SxzJ0xi2FVlQD
d3bBenTN+WeTuO6hpauN60FCeQDROCaCEJNVOUHIIXngqZ2cwib5J59kXDVNAaI5vk+DPUQmTrDE
2CQWaSFNEnZJy/lXNnDqBJBEIodQ+kZ1Yw3YcWZdMZ0EOaFJZ90VWWE95zb+5JV0/XOe1c25GOiU
Sy94XNZsX00kYKAbtg+68WOsMgqmArimqJNnI+3qsGrNONFsUt0ziSOQ00HkL5JT5y5i57Xo9AXv
Xc0UOkRla0SNJmSU21PswwVnOwHAQJk0MSyAB7GW2fsc4NtLgb8nDFQjDEk+q4Y5N3axEsS5Ps9u
vsT4wtUxrUrB66ExdEo9yZlYNcemsa8BjmsHZq2flRifEbRC5HJJUqzpU8zBASWYBWNxOcTSXkjM
kE53q3VkmxIjb75AeyEHo6rrZzUQ+kG4AkfdgqV+YSAgsZDJFGS+AQAVyBFKokfrVqo9xKQgypsk
/1l2RkwiIYlkkCR3qnLDRcdeyFV+8uwZ1aXNRvuus4MhGlvxm+IXCCjrd0axNlGmlYTS29O9YpCK
rH+snzu7IIzCHtN9a4tgZ+OFQtHtkyarFdUt5LLN36Ws9/B32zvXT37ofZfGAS7Th2wu1UO7eNo+
6F0jWiqPqseQwT0KmDuhlvEOXldUN+T2rH1XhpmtL3cmLCQN00i86xoL4sk0oerw5otveT8b+g3Y
GG+mv36k0j14Rj9eaHMXbka5n6v1mPjltFs17VBlvzW/xR3R7fWL0RfyBp3nN2ysIbxkbI9Z60dA
b/peStrbyeysA9xGtDSOEVpFcWaEywFa6Ce99J/BYZDW5+uH8sbPZEx/NE3J+9NYD+Nw6zXJM1oU
suGUSN81jUHQCMII1LVGqeVd1sB/9WUTd0HQHEoOxxB6FyQ/AETCKXTjYtvyoYDDEGl9oUfDSNYX
IaKpflcmzUx5pn2DezD5YVmrlSOhSLhcToI2/C/2zms3cmvd1q+yX4ANTmbekpVLpdwKfUOog0hO
5jCZnv58lN172+2zvGBg35yDBdiGDXepJIrF+YcxvoENJNlB2OmOLXfwl7lNfpiITohgGecgMY2u
DUYLRRET3+I1rySApzQVBRBDA3rKVJk5BV7Vupgv2vJu7I0e8uvUALZzsr1MtbgNa4MlGLYg7LHG
KFI0hINNk1M3n0fl5ceBnd2Rqjo7+iSm7S2/RM0/L/F51JWzI8n6cW5Rl4DfuPE9JW/LVBPvdtqp
85KkzgnJVHsw8jk7KUQ6O3I820ernMFvtMYbPby8ZKVFgx/rN8sSD0wuq/jKnFwzVIjEL+CY0NIs
UMjMiv2qJNVnN6DI3PW+y9ibZWFkluV+KE1rE08onwpyakji6tfEE8R9pUkygQWA1qmluTWSPLpx
RO9g6p+/olzzmea7TD1zrhhFLUGhsGtaOR+hesGOG4drUVSUFV3ichb7X9BaE67uueZGFskQaLVd
Uga1y2bM+PKdP2LloMkiyYbbtUBqZLBdxEgfVki8dwmKuyN149FdnUt5Xgy7FQqAAzInlamwy23O
clUC66KZ8u6V1Kw9rTATF3OSr0OGsZbVmZ5dOKo5hUa6heu5888wS7yghqi2MYiJJQGvCLWB9qMS
RnN25251xuT4HTMiqdqWqDk0B/q5z5r+1FXme7MgL/SxIa69hbGk14Kn+5YU2eJWtvwaq4wFlZ+h
VM7zEfOXJgIcOf0mazztPFryNjXI18yq4hI77lPl+d2e+rqB8sPt303TrhT6Hpz+QOAN7rEaXtiq
yOFLecoI0rT/sVT1nVP1l7kmwK+do83Cqpwpw5ppZpYhduQyGPuEH495P1P+UE8mnsq2Hh3gdLTY
bWqbomU+jXxSQ7WqdHTV84y0RYuecPg6uPIrkgsQmc0tm8/pmHazsaGFPPOIfgK4USJ4m7a0WtzJ
glzhfujGgE+Dfg2329h708gYZeHQZVB/bGtxP0vt6Em1XQYnCxHjlD6NzlI+N5bG2GQcR29n5OKR
Z+e9QSovP9HQb7OPREBvDOOWdrDXdMALLHiYCGxElI6nBPEDoU/l17Kv/DsZa/wiPXvfMOjeOJO5
fPaEdQu3GGlqLQxWePqu76AoWm0rgYVUaC8c9n9I6F35WETJD080191inDPPeTOFQfTwWy+Kveq9
93bdI+heOm/BzRLHW/ibRpahkLXcLM3wXvdw9nIt+5I0WrJtLGONqNDCzMBLly8es5JF+vGmLJkF
JGKhbJEReBx52yY8oMNOtc4U1thBbth/GCeNmr4Ophj88jjQlA/N3PKHOMnrIUMOpdfNtsTB126S
3mWy75xrhJlsDUJSxAsKsSxXO6Y4MbRvRUrYItyGE3pu1BUQLYJP0FD6ARb99pjmTXTr8VTrg6oT
rU0cLlGaHonLi9M/apZTdLvC65j8t1o2tqEpEkZtDj3CzOPDUOlOWr5oWKZzjeyoZubA1lS/Uti0
v3YZAdQ98n6/Y2IRfAyh/7fn9f8vmYZWfsrfTeKvf4z/dXgr6g5F+I8/TeN/e+VP55D+yQEi+jGH
N/AG/XQNGZ9se3UH6ZBayGtZh/Q/J/H2J3D7QA18DEKsolc6xv9wLsBl8McZ738gyv+RbehXFw+j
S74QWDNUQaABfuUn8HmfYo6E5ZCVPN3MBYKl4cRPf7got7/ptP6IueBHrP+o3vp4E9KRsEfxc/6F
fdhXg1b7PvoElRlkh7vdskncwQ1JKu63f/9Wv/qF1reyuCwuWSMujqx17fCHtUJVROgUYvz005CS
cZqn2ZnAiIipX00hHqf9gfwkDQGgbbG/n6t/8/Z/uZw841hzQ91ZIbUsV/789kxdPHt0jObA2uzR
KNxnj8Drv/8J1y/xp4u5voUNAN3X+b3BWvrzW2DSnpUeieZgi/Fxss2nzkf5qmBiE4zW/Pj7NwOs
/9e3Q4vu2Rbib3Ql+qpv+8MFNeMGuSkD74M1IkLE9C1q5AxaccrsqDjlzDKtaGzYecRNr5PiRxUX
NORttkGRtUW76Sj5A9eIhR8k+JiONHk+mqRq8Dlj8zyGdtb5sgyMRtTwyJBwtNJnQiYL86shx308
dP17aXloQNpeNwjK9utQm31VbBi8mNesjnzk25m5Ufo8Pc0SSXrqxGMcMCUkbs1q1ug4GxQRcpoK
5Wpr3kUx+l67Z6Hv2FRdg0WTpuI+vlbI44O48KNNhbgQTYrd4D9YliPl7oWKZtiZRfFuufl9lVrf
mJXdYUAlFpvgqlOtT1/iwaJ0RxODSo6viYJ52WT10uyzxiYOsxSkv8nxR5v4zdFFTgkAV9ukftVu
LQNp3ViNzvXE+CL0NSc6GbH55OLdOckk7cOmY7xK/OYPk3He44STdjMLKa8Xv4kfe4dFgvKyUPeH
eOOClGFAEg1EGeXRVupTcik7tCoJpUXksTqxY8zFGJu1fkaqPMc+uYSSKXRauf5j4w7eJsG3Fhpe
6l7VH5l+ZS0igUCvbZ3PVulqz0k2tDdIQPg63jQZj0Dfh3Pepuqgm0hr0rYlyt3Au3eOiqa9VEjl
kV7h2ylGhn5N0cjbpmLbL0dSOodZGbshzfUnq0LsPA/NREWSGupVpTo7BGIqxZVGPM9jmjTLtkzJ
hY6cwtokDQixYEyFf1w0bLSI4dq7einb26LtriI2XK8ke/SPFgOKA7WAuIjJdEjG4l7gRE130BOm
fQnZIEE8QiGb0khK15wOVpf6d7oTyz2iyXbNrq5u8a9vjE7Nl3iq6ib00f/viPVsXivHJjk3dfAZ
i8lGsOVb6owQHA3Nkji3qdvtoggVcBD1IIN9EX9BZpcw8LWfpyE+WUXUUBWNd2jMIbpjAdYGqe0t
ph/nvqMkS5OhCwYVj3daRBCnsfr1hV7nh5nu8mjXHW7+D2M/ZpLqpphXu7+KQZUEBFLqd2bUzG/d
SgbI+dBckXSsnfsYboA5+RRnuQaPVcJE3WVR424aveHd4g/wgK+R9lmtNIJo5RJMK6HAy3o4sCu1
II6i8TxJKUN3ZRo4K92gWzkHRVYQkGvprLQiBQVh5SGY4H9Oi5Gsuaemhy8fbgJkbUlvgl7McZM3
MzKf/ZWyEK+8BYDt+sEYTPSG0RVhXPFDVulWIFyuNL3uqbcqFQ4rw4EdZL+JVq5D44lVXy0vWtfQ
tDZRvimb5Tu4BLZpiZ7NgRfFwzHSYgXwTb+jx9/1K0mCpCgZVH497hf0DCFIyOZzKzS34PE0amDN
IFIoozLfupVSUa28im7aYa43H2279sNSZG15LN2hu1Vabb7x3PaO6Uq/QOeah9NKxEgSinsq5Hq5
jj6QGeZKz6iEl1/xQFqOYvJHLCr2a7vSNvCkasHoRVUIGYZyX0+uEKXtk5XSUQz6ALBjlaflhSiv
u8I75oPxOSsSJjiRoIvz2pNF9DM7NS3aRCsLhCB3gLvQQRYwIa4yrDelI/hEmgr9xKKEDuyVLMIj
wblJV9qI76Clc1YCiemRkgr/eXypppEQe/xxPEl8SB7gRPgAMSeY5LsvtfwZior+GK2sE3ORzsbM
fREK6DBQcezc3LsrH8Upub8EQLrvxUpPyVaOCpTIMGtd+WQnwIpnP2WO1JBWii4Ak5QksmWbr1wW
tRJaUJ0CazFXbkvRedqBcYxDH+N+c4UZA6Hw+b03K/PFk577mHeT2JcrEaY1cFS5w5weQGus5lXI
MWplyFTkLBzsHq6MkxJekWhxjAVpW6zsmXxOuPwrjwZ0UrHBJeztuEj5o4m9JrR1UeeB1mfGgwXW
xln5Nph2rS/T4CTXoLKW5w4MTvUBxJE1bBz1QclZeTk9y/eDtTJ00A1A0wGrU658nWgl7Tgrc4fz
cTwOK4fHb6bKdc40QLOBcyzv1G91xf92+f7/HxlA2DpV4t/Jbbou5S+g3H8q8X973U/BjfeJhIlV
g0Oo1O+qmt/LfF98wo5PNbiW/j+xAPzr7/W8qX8CHOpCm+POIb/A9v6JsgYVzy8FG0W2j2gNq4Rp
+nwsfqmA0Xw0dkY0ybGQeHjdGEUucksa4KVAz233aBT7ZvWkG6Jn2iSQJVrBsLq8KxZGnxf8ak1Q
oXdFGpMR58BpNaMGziIwaazqsRTPWv261Fm7GFihUrWco9SdFQ1wDapD9BiHXfBifJdMMuYE8vn1
hxkYK5KpwoY0x12bmD58EsIJ7huNgUUr0d554zjdfthfPzzH7mABxLJxA8O1RUTKt4mOnyi++o1I
wWUHCQGZHY6G46xmyVQnsRicH/K5jlX7IKJFaSePUapgEAx/+PsQg4fajb7LCFsfojjdFiqeWuZJ
iWa/JjCYyLBHrdkn56qHi2cGI4Pr8bYxXECpbuyNMbWWlngwsGYR3xP36uwwJhWNBe+/0BmZdCyn
N+BXTCLFrfVPxkiS3Zepzepyjz7BCWIMCHB654TxRCQ6N96I0VtML8RJK0hACwonAj8WIGX5Wixz
fDO49CgValxkIO7c1AFLYe9lUVOvMfoYpy1mEZyizrLp+a8A7wMyQdkM1y6z4S7M9Ng85I4pGLYb
1WaMouGlJfXE8/N90Rarvc7L956/q9vBk+BNHIZKjP4aq6lvCXQ2uGFqFwsYT8m16o7uBmeePjOx
yl70hOgBNy9pG2GPA9PL7B/rOXAPMXEKUFs2JLZr8LxQY1Ne+uYrTjlqNXJfNqnLaZn6ZX+yInKW
hMjvk1xmd8MEYDBwNYLzyrHBuD46TPlKWHzzIyJm0j403+++2qvyuMBNsJlYhR2zGISQPvbF2SWH
HIO9hdKB0pexN5LnRhPJnoLN/+bg7gQ3Rkzk7aA5zVs8MGNj0jfr1/7sMQXqpdBO6PV51ayX+l27
etBGfMlPppE/Sq02Xh08Q3GIzeVbajjiyfH4UNEaWTvmdtYKxRpQokzYD8zxRxR13tuCRGDr18RL
44mP+zf2+Fu5pKTeJqMVZPV4Hiz4OHnW5TtzWEw2IXFUHdrYyo4VxPcLplfxOhnKuxZuiQfXGPuj
LwEUltbsM8qvusdOVfGNOdrAyczCPGOWn65zsPqHIq5t0gYSQWtTy5emTOQrv9F8P03KPKtqyQ+q
LLG6AMb+Vsc9EfJRG7untDWX28buB7YXmJOKtBZDENWey+iwLzjvNLQxGlCGCxnP5p2/6A52XT4S
h3xqIzQ6XpqeSjZMN4rN49XQmunz1OkIcE1g+5c6G9JLn2TNo8rU+ABRtz6ZWVxCL0v918qa5VM7
OP25t2k1tyhSJFHf7mLsRJEUt7buR0fQ2uO+X4hQ1yUHctsM9rs9tM0exOL8PEkU3CgOjmVWF5hN
ogv6W6wyivpo/NCplfHR8OvzbOsz2gWTCbSlvqtyNAIzI/pLJzskKG3WIkJ0OMzS0t2BgIKsPTnN
V/xw6qw3Y7rLrTkNndIa72TFfikho+NQtYoecx7nF1Wlyzc7EsMdFyS6oWlQz0htREifWGz4nPSb
qpgkpmJL7mtLOg166yr7TDxEvufXzqdFW3MR3Kz+jqGy3y94GDuUObq5pXyyaKPa/haWRWkgQZhX
hMSQoPe3jXcKbbRSuhMpbmU2Fr6BxnzKhksSFbc1goBrozLiF9A1+X6x/WaH9UobAlTX+sVJM/3i
95l/rSGRu5ungeJYED93VVUi3/v5dJM3irJH8EE9KRVbmwUlRxFGY890OhPxqa7YHcSeQ9erzPKi
GnayrsmjBlnDWXNseTIaSzw4Myq2UO+1KOwaZ/6WyHFiKaR5bcpkWcpDN3fNVySBqOdkduIs8bcR
eXa0T0N6zDs73zcEsDyKVnb3MfHs1wZLd0L7GnTcYJWbz12pfDQd7nIZmAC/1ZVCiynEeJ+nFWt7
Pj3uVTmO4PtYrc9hFjf2oSzt8aTFxbCPOkFASt+aJwxK5c5Lm+ZptO3udrIZ9GMsXPZmOiV3nGz1
q+Or6qvXl+77nGY9iqaeRs734++sGeWqimdh3tcEsXjqPE+dvXGF3rPR5/uk4e8YyRNbPwZ6lw9v
dcEyOhyM0cSYsGjytObrPRFs028rt66OAN9T8GqOzBiOiGYHMr559uLScbZWFRdfzTj29mUzRRcl
Iu88eKWGL2xpj4nvoT3JcDnMBucba/M+v+4t3b+RXtFdMjH3W0WkE6mBWn+Jeg3RmZUhSsldVkZD
qZ4B8DqBUSPgQKMHnSTozFHd1XHnXS2aP//QTZWrwFcpx7XPNT7nY689JontvDZU9fspQ0XFcJtQ
1vWhTUrZskTkj+hehYWCkQ7ZCqTFkj++ybx8FoGMbG/v9mzCuSfG1IQ9pjV4ockPoyb23iCjEUKR
mm+W6qqLFpf2g4fiJAD3al6NvW/xGJyNW6jwOo1deVl/gacmN8V+AfM1zGW6klqMi/J6eYxp8kAH
ljCZYsP87Hr9sJ1cDa1GU9l7zZGoBXzH3HrIrDZsvAiXrcz6iGipuwMAYX3DDpL3MA3qZaPGwX8Q
NsrfsumMnZ60xN5GMrFYCtXWLc02xgBjmPy7PIb3AB6oCkfdvPIikJgh4w0duTI6CCZwJ783vK1I
teZHolKjx9qH3iPqG/eAwqwOu7ybwzKau9t6yWuC92pmkIlhHCZQEiEmAC0cx8Vf9pFo3WdqAeNx
MmnggpWU8O4VmnotQBXtoqx+sZvc3WrSvwNM1kl+Pr2n7hhJIjB45MWB7GWC46LVjrBzuzQET9+C
NtSa5Vtat0WD4DIaT4aawOxyvJFbFHNrWuwtZGbfRtSmO0HU1VnhuJE7FG6u3JhMaSRqOktdm7h9
2W61T+C6i5thHKw6jNCE7Tnvyt1gKfgvPfsPLRXuwcCUcuMKd+JUcNNXCjQHWYdEtdLMYJVrGSEV
zaCHuAICzJE5oAi5s/NbHBOIgVtrknbg6hXl69DNhD1m473TtkkwLuZ4dPS5vGHViAoxN52Wm8N3
0S8sCTKDzNhnOo8VFO4U0xOVaomNUR8fBj2PP+tZlX+2DGpAC1WwBQixaW7qrPfPS7aGW8d2dITC
gVg81qWJoLniBEMXEh1TNbCSnWJTnmSPjpqZn0gVJaZfHVjwxN0Ps5Bu52csQmeBHhj38FU04Mue
cE6e7ByJpqN15gUlxHztN6gt/CwFxRc30ykpx2UbU/i/LEhZpOU8xg5uW2Wk12WKsiA3rVORueIL
fC2DZSYIzyZCsxy4hfMCxtE4zhBCg2FMILsqXDW1uby1CSQVV7vzarb2Pp6dTb4I3FkNEqyqL8e9
DhU/zAAwTbQI5zQXxTYnFotfi7mDr2WFrKMUowKKGy1PcYql5gVQyyvsB+aYQw8cI8vyTZZ5LPyL
nAvDDJHJBztATBB1ULlWeUKaaiKy83ZJXM4nlEU3yWwZT2Zb5lnoTYxpdadsd4KFTLho0xJGmTI3
SzWzaCNq3WVLGiypNF9nzZhQF6A8Lnxv70e2ezM5SRbWTpldADFlbxpZJcYqaS8Yzh1qLZpPqFT0
S1Lk6WaIRytcvJZjjrXRMa1dbzd3/RLWHS762VLMeCpmzaWWc7Jncr4Bt51vSEHapktf0CfUbc/G
Hyn1H7rW/8sW5i8UAnZNBL6t0VpsnP6S66L03kt6SlCgROVy0VeQgikRmgVW7s9io8dJ+21SQ/Ot
FtCv/ul7OwaqboSBACT+muWTROwnU+WlR0k0GeXjBG6pZVcCGwIT9YOll7wtdVxJuYB76u/fnN76
TxsTH48LDDfYe55Nopj/y1IGq0jrzEudMmADsLVIQraw/yc3XuZn93//Vr/uf3grTOH8vXbeLKF+
easUq4UzJbjSVtNzueXzOeMnm+Pq3+xl/hKEsL6R5VrsuljOCOfXvV1WzTNSdzc+qhphSkKk19FR
H7CrtMcdmUFsGvwE2e1sFW+1G9PNjwseRcJs18Ye4V65/fjR/zM/+jdRCIYp1kjUfz0/WpfEpx9t
92P+0/jot5f93BCbn0hHdNhdWiTJfNir/ntLbLMlZiDuGiw0/zREssQnbmewEsa6DnRhJP7PUMn7
tM6SdJ3/w1gKpMc/GSqxWf71I6Sv/muPdAWSFyyeH3/eAhpNy4oEvcMB8BAFWNma/Za7us3OCUfP
edI5vR5iu2Nio6eJOg5p2d8lNSSjfYbOIUO5MyDV5SSmXIiUiaaeyYtRTzFoyshK76gmdYQ3pRnE
fsOIetLGayh4HDPojKPHySjtF8bGb7lgYcWXeiTd0H7os2q561r/saqJn8tLmrigwu2KnVzw/GzZ
v13UuM6NGASL+w7FXtDXvf7iQ3516GJT474sx+zUtQhcqsKjl1sfvCO0NpC37nRdwBreCE2I+2gh
SalAxfjeGS1CyboyOTGGgpo6HiTWC5oTRlMDUull7PxwseATfVyobKGFXiOA+P2noaZ1vHokufRo
U0p4e/a9xOXKQh0XVFAhpjBe2NljZyC3XjVFTuEX/vMglyYOy9zTX6AtwvStBz8kgpYmX8em1o9d
exw0AqQXwSQtQCg+77q098lorIjASXq/RUiapphix44FeSs9dqhGHWuvSgGqpPgtVkyhKa5ar/P1
/WiL/GnOcqRqQ6zES1usS9hsor7n7E2mG6/OtfeFTJxwMpvoBPgj+a4xbL+u0QDvP76/bv2uuLNb
jAj882ggoiphpuN6dh2mGTu9VeVeKUzRlYcRO624yB1cuG25AAQL3D41WHsIBStA9cAHrhwjSpJD
lAtQp05HZ7ZLbBfhmbmsnGwZoYgttSojRrM6Dq0FmBzfEaP2NDZesA4Tgizq2UMqDMb4oPqCewGt
+kmqrtvw7qi0u85Ot0BDYHeCRHhqNTN/SOp2fmnqpLvyEGk/ymWgzqA8djYsMk143yo+A/dLnklG
NAPOU/uM5CENPRo01Ow9298BNX4oF1vb2otBlhBTDMY/doMWHsOXs/pOltelHOc9lA5/n+eG+T46
GGCYyBRFBRN5mZJNbMiUpDmp98l1lld8LR/QIZBpBNJGaJnUTmkwtJUroQll3X0E3QU8y5iFJisI
vLt6dCmcIsXDF4/enqRmsWvzxAT+6RFk7U1aFWQQKXOqybTw9pnQu4e+sl6AdiBltfXn0ptm2DFD
MyaBROO9bIcsvxQxkJCw46TaAZ3AW+UadchRTl0GBRShnPJaNJJ5dds5S3HXaSaz2HlmmJNa4qSg
lwTo/eJtgQhqVdD3W9J/lhNNb5YHGW1wOOa2+XkSDiKDYqa+j1rMT+M0qsAC4g+Brky5qcYo263h
KQDs+hW1E8klVGOnoRs3u4ui5bmZPGA1pTbat70d441IBnp13QXlweo/j2TgaT4rJr9J1WacdPdl
WLT0EgkBHbCV8gfytmM786tf6nUCTfgSgZiiwnkwSxPAvs5r3pbG50OvyRb3CUCn5qFBJCa34yCS
rUoGXH3gK5fPjBH07SKbBNA0xI9Fr6snpiPz3mhcqKWMZCq8gHGtM+2dF4GzO+8RSiYlfnZVUrCP
PChEoPJR3wwOVKyRHKS7ZFq6Z5+f3zxa0TLJI7Qet9s4SwypgP6TSS44UvhvbHKDgs0YP3+j2BAk
biVCt6zbsM2N5NFhjr+g0mBYbUD6OA+9zLDntym4c2lg8zCdGjCaP0wgBeMyHOfirVr0Ztums3Gs
2CVfV7PSHineefgrA4yCP04S1XSZ9xjnvaW9bb0MR1GJ4gAT+3JnOANPpc5R0evHk6XJ+ujdn4rs
lFd8Qg2xCHwd66cIYIL9MBHE8QQ4z9s4ms5jdViFxwHbCHr4yin3E1b/Y12iJ+bjMBr3wl7fiBZ9
2tC68p3kA477UR+HOkhGzS+vObbna8Te1bypSN3ZduR2XMAF2L8lEf6nXPp35RK+b0Rb/7pcuhAb
9Vb+4m3/eM3vtRJ7tk+6gfaJokfXhW9DMPt91UY+N4xudMwmuVE6LSrLr5+KOv+Truv8L0QPmE1o
Qv67WLIs6ijAhrCxdNsm81L8k2LJWrV5f+w3dEKVCNrhLxOZBcq6tUn4g2SqRnMMH3aGYVHXbL9z
rUBkNCaAduzGyeaDSxpciYg4Bt0QpGZ9gX2shTmhYt+7CFcly6aCp6enr9j5ZGnQDzOldL4twMS2
5A95Fgaber6qcAzkz+liNVdVt+jfpRlPPEZVNqlApwBaMbvDYO5Tzak+u33v4g9v/GE4TWbajpeW
hnab9BlzC1bKSF9mB6ojnU0oVES2wqxd6QpaHjRrD7SlLBdjg+71y6CMdmugRj9aw8T0fKa0+uHY
OsLWj8Q/36PH2LKoQ1BoOUl6IXJzPDITdA9aqyhSqkIiS03L6W5otL0hFUkjhg9ibDL3iZb3mGHi
av2ucLw9T3ZHBokycePN01XiCzYnq+1MCGTrIuo3ipQSZuKu2YLVFyXdDTOhtqPHj9DZ8ojCH4Iy
Tonb1EjtE3C67hawqXTOo3Dtb1wRYERI0KL2cXHIqOxbq9Oss9vGU0bcB0hvawS4uG+9OoGLOhnj
BaoHVM181eELQVwFQrBiAJVtJUlvHiQD4Qr9UpfVg3LP7OpKHEywQaEksK9LMiVR35N/OBnDURQY
SNFNjb7EOoz7xPERycWe5ro1EA6GIINpULl283SL5UebvvulW69aC9G9k1DIyXhtoO0qxIOLj2rn
9KlbATp1I/elHnNsa/DdhiuAo9nJwYLIhWqziOTFXMljih/C3LZ5dicEGjQ9pYqNkmy86chaCPQ0
ldyWGEI2c80Jq7GmO3kyq6Ck6ssOTGW2XwO/RFpP972jLPBlWm6gZ2N8SjhOH588r3ctqhKudmhI
LzqwVKPQzsmoPBJ82u6YSHZvlVHn34y+ESbzEDg/Qdusuzgv8rAtAUDCd43G8dSZlEqWGeeMf1Ip
DlapviTSGvpwqSz7VuMK2oxy6pgYbUs/x9IqdsAbtP1gWpj/ebsLm9B6zxEy3ZXgkFf/jydvLBG5
SKc9KomMAKLz6rtFPs82d+NlTnkcQGZdp30kcR71uXXleHI5lUwkEY3rzKhV8sb3CFNAx0iq8vja
STpmlMpyrnTX7V6SKYu+JGj+dtSTwx4rh7XNGiojJdz6s+yWa2C/9t16Z9+wE9Y3tIGAAhpxWSRy
eKA/feiZtc32AbcLV6DW3ysx6zeVncUvcZ0u57axCGSnDjt0OUL1GQHkXsoh20dpRyR9U3ffjZH4
+dpp/YfY0lhBm55xBenxaTH0m9KUYBgwWF5ly2AzHGm0g5Td+Gw3EJkCSegOdlvTeIVIzVpMzUvF
OCHXzXsHmN1WlJ35rrkelrieq7HLFtkfVZ9/Q3bsw6lgC7rR1Nz4QTY41kNtjlMSYiiuvlneHD9i
2It1tAat/RUHGhAqKnC+Rq0dWWEaIQM+LWgUMKZRx5iaTSASPCRn0MTltDPL2DtMNrLlEeSgF4B4
lzvqOsGNrvr0LPxEPXLe4wbg+jx2U3PHbY1p05hhmSdaaGeRf9Dg2JC8Bwfo5LUajDYwjd73ySmT
Wz/30sMQVeV34j38Ta5D7Q/qgjSG7VxZcIJ1AeNQ3vdF6x2hlUybjLv7QQBwLRiazwbbFjMKxx7/
gy7FZp5siAiu26TXMh94sivd/FLl8ap9VQBQRmHJzaQ79qvtjShbRb3cVxOthOW24zNGOEZmpqwu
Rl5nSALd6RsMXHzZhtm/x5irmLMikKzypNtPlmG+GAAIbhaR+jcDUMTbubSrnchhoBiYac6RNuoP
jMaXjP1bmzW7quribVc1+ptXq3ZjTaq6lxZVKBbsBGSJVFpgMT9+x2GjH8qhdF9N8lHRmXFrbRce
OWHSz4MTAMQaNyXJNkcPmWngeoNzMRoiYfhEmgzFhfE5bljAeqOdnCq/rW8bgcmmb/SBK+sn8490
bvsHG1e6DBuavk2nz3mDWwPPISJvJxAQSI9LO88qtIzmB4kG5pYJH0JD26gutFNkM5lNe7WU1XiX
09CzZ/MvDegHBMlzmkQgq7TskuiCECKjkV/yboDpRej1xa29+UEfRccqkWbo3gKBfBg8lpvVFKXM
GCIL2BOYtpt2qLPngjXXM+K89hYLVgSIK0rPamow9iPu+Cxaa94meiX3M5aMbTT3DXvZskObzE/L
DoutQX8s84UaNHbVZ4v0kTlIra7caOzQQse24K/piX6LBBhrkYsm8FSOGp7WIhvnsy3nIgvTFu6V
V1km17EfX6wJL5U9AHqYp4JFB1LI5SRS4Xwz+PpaWEVlehv3CaJNqfvP82JDF7AWDnqPKJEVX9il
O/bAzhWQ0BpB39AiSrVbtKg0dKm18cbpSjVVu0NtocrfskX+Uxz/u+KYqpFq8l8Xx9dV2yf/Fb61
VZ7+UiP/9tKf80T7k2UzAMRWydTfcNZB9O81ske1a6xWFB2i0jqQpxD+qUpzPjGZEYzJPd00eBmv
+qlSMz/xRwU1NyE3vxXd/4D/hBPjzzUyFiQePqbPhNzwhG66K4X4DzWyuz7G27yTAPc8GGLCX8U8
S8fJC8ij9adtP5AmAn7ITTB5Y0KDeWYAX2MZTkcWGiPGqh0TkSLbVv+HvTPrjts4t/YvghcKhaFw
23NzZpNsibrBki0Jc2EozL/+PKDs7zhOTvzlPlkrjiObZBONRlXtd+9nU+bZnKyiEkAP6kGX9sZO
pPlWpiAkQa+5gOA78YD91D13LsFMtrtYtglzS3RKgSV3zAoLlaFAzytJw96FQGTf9YrOq+0lavcQ
T9IaHIsA0Zngm8WIJB4Q5QA/VDr2/U1fOao+OuAkW2iF1volMsIPkWfp/OQ0XXhFVuMHjxzkqUU0
arrQlR1ey1RMPyGpEW16EY7WKWgfY0fnFda3tlLk9gLzzShbABihW4F+ScpVhSYRuSWbPT3NpPV7
2Cs4Xjc19Bsm807cnmwhxSvCsPc1cCbqTSurP8khkW/LqKYnLav2ZKTNRpE4mXiInYbfnylBdKWW
i2/dNOm6UwwzQEc1W7RvoCq5AtplbJzygHzHUG5D2ZUt/5o7ieq2rDzv6xzzdfjOeQGeoNeDPQI/
jQY8HqtRwgSul5S5IHdN/NZuzs9UuaR8I7P53cPCA4vej7Z88F1S7JreuQeZW9kdU1FBnDWFhhCl
w1lWYU55HNtdZs7r9SSwSnVfOZV4Fbiv+ZOfb2hhx1TnxmkUXp1+fYdJGUxPvKXGfPZpoZnuRoYn
YjflpE122C7y9NkqHX6FioAknTpDwl+VKYpl6xU912XM1paeBCIo+42ZfRS7piBOj01XeqA2Vvv1
J2QpVx6KckFJG8blRxJx0tvYgw6vczFeusV4hxmPmbsF6AUfCxniGa8jYiBxf2tbi9J51S434Opd
5K4tudFzKAbRAWcj32mJHP4K2JrXlqw3UWfDUKSWkf8fdAN3A1N73tlQdhR2oERKgqOid++LIOig
ksSGm89yKIyJBoePXjACrWfSNMZ75vziIcHvNu6CcOINrmoYblAJYoOImdXMVTVZ2nSbhwg6+4Fb
lGWYj+VdVYfodqDE5NmCTSrZLUhed7r06UIYIJpApqzoVz0SpttQHmi+TZPLj9R4W2j7We+TOZwo
QlnfIiXJqZYelholDN+MZTI9wlwO9wx6Ka0bhnBfu6J+Jw4cXT9u4dQKuL65wcq9ftjXVfw98ofp
MnJ27LejE89PE56up3JxKhDTGWGHtbUWY1/Ihetgv8ttXShumB47wG2hff744yOBvpoeQSpw8Wa8
F0d8nPKcirR5X4K2PTVeDZPf733x6o5VdLWoNsAAZ7IEObqBR1+0AR9O+mbYHxGoIfnvjQORlZJf
x4blmJqJN7SxZ/4tUnrcYJbkQ25ymDAAKFzxOjjgmGd74QlCVkueg4TuAIjXIYWgK1O2S2e+QwVn
CRgI3inIAYFJ5BM+0DjYWS2HR+SvJdzZRR2cfK+1Ma5CUoXhS8Umu+AW/0LO7yunNh4Pi5n7ZA+I
iE8Yuh8vCIfqdCkdDgOX2UwIFlkf7tMZDqTkQHDJw5UoqnMLeUIUfB9Squ45z9HaMli0rzZ5tdfO
q3uuINywS82NDskN/997TjvHKSTxcoy6xHkNJPe8n+MEoNMla5cXQ0Gte5p6ONJy4Ree8pw7ygod
3igopOI1skkh38RVAHxO6rJIbsoIImZGo9Oxd5182Q4j71KRRu5Xkzo8mkU0c0+hSnODz/7C29qa
tTx1DPmETxoeaNPPwGQ9HHw7MmwSai7mQUwrpgvp/eMuHRlX+Xh1G/GQ4tF8LUviHyRo6jjaD+F6
5wCyqGbEhpZv7+Dk/xbnHG3SxOPu/kCOrvceaA+R3bpstE+cBe3m8HHPuw77Qjxx/M6ALNb7vw98
DJzpEF49ZB1+T3t97NFM3XRIKF4+4X4yPN9a06kdYv56P4azUdu6UeEVqyZv5M9HWmZEWu7qAHIs
iCPV9udMGcpJGwyJ7b5m0PXk+ny6KMsgKNKPXF5J69nHJ64clHsddTdhmW28Njl8PFmrKhE+1iXV
XEUKzeA6xvGcf/Lobkm3hbs+pcQAWthNOu9riM6xh5pbPoukd7b41b5RdRue27peF4PGXhdnrNlY
rLCQPIyLx4OsYP/QbxXzIUjbCW7i5NGZk/nE40fCBhcxgXBI0iBQaLKslvC21KbDVxXQzsUlScPi
ecmK75mdMsraYh2Kryyl7Qlcc8lbpG0+NXk/8azlM0mCm0dMtbFGx8u2HB/8b5Uur1Us2pswmnp7
3MxsfdmHyPbVcRUW3XUhghVWvKZzXIOU6tWT0IEd8dkdJMZUtP5GiO7Bs2V1axAIwCfGyVsaNB4m
PB19aegYtZyquTM2LVgtcHE7wN87bvpSlNZ46rr5bJK+hjgWErx5shO3ogKh+6Sb/lDXpjlYTBaf
YDJvshJMmuMyppn9orZYJyoc5WfknZKnKkKYdH0GF9JGc6vtmvmf7yzA4QxHZnzLbratK6c8CdGA
V07dGgCam8tDrp0hhC8IALwHJuBByISAFIzzAJaOXNhh9oGnnEJuy3YbE4yfuPxJeNtJd3lUUxfc
mCxkmaNb7JROFqydchRvrhiw63EUekyXXN0ETsTdKyCT+4lCZKJ2YK1VnRwEiKC/hT9j3wcUl8uN
sbzpa+FW2dsclG9uBkTnrmiM+9zk4O6szowKzHMbHtQghx+UKoS/Joohjxkxgi3cZPsG+tdOMcWB
7JWFJ3toBk7mHaAoVSNOuG5GFbE02b1qk2y+53r537JO6cPSjxHreGpTAzW+hSvVM8fMfgyi8Qu9
xFsvzYJfcVrNl8Sb9U7A/jnIPGDW3Xnts8Fkw/ZH+3tvKqffUD5fLVCc6ATG3Ks0WZ4x/YNBD/qS
SgYAGlE4EMAMU3cfN+a1CXuU5NZnZ0TbcVPdd0vEIwrGzhaIaL2P2Tfc9GUrbhzTWiQwKnPOw969
qyTWRy6aZlbXMDXxGZXSM6v2Fkwq8Bi+RUC6zJ+oUSQ8qm6sJRePLAIzWz7oEsiR/rkACPUcg7yR
WuqTY5n2qNYVQs7QESeaGk7ETnB9pbP1bjig77K6DZGwPDqIQSDi67cvOUPnu2ouujd0VOtuLmtO
9JYK+LqRveuv3UCr5C5yHNJ9k25wYXXVZ5qVOrZ3fTmk3N9O/uq0kaKiT1oPtt8AXcUjgVPUPfQB
6KKsykuUoiD4auXl58la54cCTBhjq9YcLAifQGUDKmHmpeuPNpUEW0/lZDnR33cL/kD4oUl3HrT3
rU5id++Qq9iK2l4Z8KA7Z6S+r1EL8GEHfHz6zI54z+66ZSeY2no353a+74hMv0YNTxSe/G25J6zK
uC91gpNtkLih9s0745Cd80ZAbXfIPmRCa9lnYc+DRLVcu86zL6DSCoFRsGjpFYeOTrIijQTavsjK
VXxezBB/4+EfH5KMVttFiRoBdgAeFVPb1JLhkdGx8xOLB1Ob+ieF1f5qkS+jEcWPHJ+ZrEh2IEQ4
gSTNPvDb6p626HSXIrReQV1RcU9ShYo5io+WpVsYXNr83yxAGXAK+22MJ8UtLsvKtW5SktQDIJW+
TMPfIAnHd3FTPjBbNZ9WyuQt8ti9n2sYhOwGXsreYfA+Gp/6eM4u3U3eNDP8Ob/ubZp2GYjfWI1Y
HOiUEP0OkvLnZtxnwmLnBFhJRo9RF47sZgmSbwjcVuo9otCjPdEgONYzj++ZkAAukHYhc5iRhPK2
TgHUdRMbyx5xnTCvkO9Ilqy6K8rVB/y29p0wQPbK28Zu+XPipgu+OK/sFHePE7Z7r2cPipTLbkuP
ho2IP7isTWlDq8qNLZbpMjsjHc8BrRRlQ5wJDz77sz+d+P+Fj0/+U0OP4DzPvArXF+NuD2/PP56d
BxuXbdskp9pHRmPlYyuI4Zp+rmDiIS2NfmFUodzzXLGKEpGpTH4Dfn+49O5A7ioZxvCKxsTmneQK
y7To2FVbKXu62F3YTaSxYQsQYZPdtOvRU4d20e4smCyslEE7QdxBp/j2c49MyHW69Mt6KNEzk4Ak
SomV4VaZntZl5Wuq8aLpxTDn3cDMY0P27y+H80/eJLGWK7m+4Bjj+qG7+h7/JCVQEdWk8xBYR5nA
Omf6s+jkRvXrzktPvHruw/AOROhgvWhn4Sw3lQkvaya59jKFPlcrlsSgtt5C0UNWuPwtF4u/Tsx3
Yoi97HClwwRkMwJXQvUa+zg9VTEHcmpo6yHexwDgTstc8tM9J+csyZSPhCtuxPLbv/9l/9n3Jzz8
m14Antu28TUz4PzzLzuEcWpJwtAQLwemNeE89QZicE7wvPVCj1+5LhkeTKb5CttvvjQdCkOTcAJP
q6m9lLr5m8sv/tXdaEuietINIHn/teDI8hpr6VntMRThp9r4EEUuVE2GV4Mww0Ww1kPr6ND4gDVV
nuuBUwEllgRcBP5i+NSmXk9OHEf+/aX6J7urwKC1lvY60glQm/5yW8A6KJicpNkpqsBD0WSGX+vT
srY/fHbnZWmAH4Zs2itN6tnfAG39u+rif/FeuQp6C1IXzU+8ir/MgalXEdXidPHJm2hn3ESaRoxd
H4rIeRB4g2POZFF9TGWaxBCuo0XjaTDRQ6w78arsXjzAQuDw9R9fFsyEksyrj/z3Ty5gTQUwVhU3
PmmLExIBkSneTynAZQ4udIPit+KA0JcLZwhriOv3f//TP55Nf6aXcDH48f76X06qwv2LkVDTEEOy
g0ZOby5QDDLip+SITKPKjDckmT2or3JU8jUPIuss1lOqdklHEZJraufR9WcMGxs77+Lk1K1CU93E
OvuBtZqjvl7L4z5e8H+V6L9TohFm+aT/30r003et1zHwV53+o1fj5xf+oUO7v4D7UXScq2D1jirU
7T90aPsXT3DUxafqQAbC2fr/dGjX+YU/8hE7MNeCJ/IwjPyhQ4e/8PhD2QanJNGUMFf8Bzo0NnCe
l3++H1WwOm4JWjkuzB4Gkv/4PC1KaZaytueTF+h83vUrHRxA6DpVj5glrSoITczMltryMHY+M0y2
1u3ZVZWwD0sD/GObFDZoy8Z0hbdL8G1bG/xoPTjF3+qhix7H1ZZVzsLeuSmnzA1AfHxbpWWIgYqZ
5By8dMp9pREW/dgzZyMnidYOkyxZCMA61RX9pr2ZV5MYS6C9D6xleYuclQzvojjv2w9nGfJq84Le
id/M/vCeiQ8b2ocjLf9wp1UfTjV7Na2V/UTDXKJPKWTd77hb49/G1eQ28TWfvbnK+h3JXfeOQAN+
OPHhjWNJokUSYC8b3tU8xyOtuB1WQ11aJd39sJrsxGq3i+wI513VYcJTqx0vC6gr2hL9Zfa32vWs
1bgHPjSEfF5HeLZWY59quczwNtit4xOz1+wokZzVDOistkBKGUPMq1gFCTGVT91qH+xWIyHJ6Oop
W82FEJzxGQ6r5ZCRSL3NVhtiPibkNllLu22rynsd0F++nwOfqTahbMhxmqMyFuvursfjaLy4exGQ
KDDlthEeSAdxsubogTUScq28TkXuHABmqCNST4aHkuDaPU9pUDzSBnhc4RXzvMFcAr9S2Z5udO9G
MmL9YSy8Nm4pLsHwVIaF3pnRJaoa209uv0arTeXIdVHo3wUq7xui0/Q4mMyjKgiWkFHd1itzpqgJ
ARGpp+KGJS26C+tMP3t2595Ds/iUjq6/Y89Kdabfz0TO4uhl7r0G/LdXnkabAEwlOnD6WXYh5G8/
kt8JdhEy7Dn2IX9mFAVDER63SW9XNNFVJXn4oYpOGRmYQ++X+Q/2mL+JKLQOlYtCjae4EBdu8ngF
JTZnCmFpUihoiRBQsJiDO+7O195zxd22hYFwC6Em2ZSq8QnJm88LAxrQvdBXE5LU+I0Ur9Ik3jbu
wReJXqTgpRLrM4tYfK6JNV28oq7vZ3bGIMgNB0wrmfetmAZ0ppZZwdBw33DbjpvJn51jPYM76nWS
7jLbhdhcQ5veY+Rjkz52aylQSlLy6LvlHIs3FRVTSopSjOSJPLG4fr/LxiRO1AX3D6aK7WxBCH1x
nNwbXzzDvtzdeOgN4iqwnGR728vSW7+1g2fUqCj5NLlLCXJVZAWppLBiZwQXe+bnD+kD4DHnUyjJ
hG8KoLn0OkSSyZErKsv7DBxHZ+exWrX5oloIhE6Ima4+thwzh5chTd0R43vae4yLYyuTwOjpQn3P
866l5GIZch2sHVrG2c412MfdYJyJJ1ufxvF7KdJ45fNSe7ojhllye9K4ZO8nzKVIEyKd+PUVZXTx
rsi0UvumlB2V3nOn3Pf+o+k7+Fn7zTUKe0D+fVfdpJ2WSD46yjvJ//hRfs5seI4a5E7fRa867/15
azeSGmGno9ycD5aY/ps/wUqcdvPfrNRsotbynP97pX6p+v9jZvz7l/6xVqtfPL5V4PuYJ1nFGdn+
sVTLX6SHg2/d4nP0XP/JHxNj7xc8kwKfIxBBqgL/1BgkHayYyvYwyvus2Gs65T9Yqcmt/GWlZlZM
CIXMEywf2n7sv+wcCb3muqWZGbJfQGVeCPJt3ALwDI+JbnDAa6xIWx1n6jlMJdtmJ9VUbfmw4Yci
UQQwZI+oH6Xyk2+S+QnDvH5BxY++kLFiKsius0ZUWrxT3a7bSEh43m1qDdWOVEo1bceJ3jmopxMk
o0QCVbxThYUHn88sLWPgX276pSkaCnLSGPgu/TSCsayfQAwYMjDWZY+qHYSze8gpAX1MRDY95eTi
yH9Pg7W3G0vetNFMmQxvgSZ1KxMnOQ8kJoGzzHhnoJvV285hwtaXUrIOKnkOJ0QnENrN8G6XvCjS
CFH3nZ8CraGFhi22JMaN3Ki6wbMd+MX8cyA4RdoH6eJ39AqlLOanlMqQYI9KWP5IecNPHvvpJ57d
TKDEkkbfFt+DCpOjU36qF+SqbcQr++TWHrWco51fwpzm4mhKk8exj/Rrbchyd4Rq5ltsMLG3c9F7
wP8mPLdZ+gsRbXHd8Phb8F09Q0edqRyvuZCZiKiisGmVmzZuNgVgSxZ6+2KlnqICnWNDhN0WO8oj
sPQxTagOAal1CqaD81SX9SPk3vDJI3eZ3GVu6J0M1+8wVE14x9O3OS5JsuptoXOYkoH5PPaa6gWx
Wz1bqP4PWY6FDRKIBySSwV0ZkdeOqpwRHf0PN0RT3TMsiuoxbxvEhIWVY+8HmbhxDasm8lPv7lL6
0c1psUrqRXoMjVKnza/jUjbvLSaBT+w0XQrflsbztzSSmG/CKtUezwcBEB674fNU8xgm2xe+OPCh
6exZOJ+FU8sO0wOFxqbUcKYG2IaiSnPEV4DwaksrT3hX1zKIidPa4OSmTFOrGTTdQinu7MzHNOqt
Owd1cGQUGpRMkJDuEGvZvnXnxGNNo7iy7i9girz8LpET4wRlCbkRre+/afap98lP4Ux+qGgY8FZJ
zf/Q12JAbYht1u/S24cON39ocs0qz1kfSh3ENFS7/EPB44i4ynkqUCBy2g+ZL6pgEd50H/pf8aEF
OrVBBfT4z1r9hFwYRLH1Qnmx2Tp5dB+U5XCbrvJigs4IwSO+gwaP9pj9FCKdn7IkYJ4A8+cqV3rS
TplIo2jaq5gZrbKmvQqcnYRsjTVtvKadQ9FEmFT3jG+bvUEbzVaRNC1q9NIgcwSUc+6hKzu72D/x
8bZoo0BmrdoWxZUsfVlvyWvWu3SVZP1VnLU6x6DTal7DabZT9FsM1P1u7qbp1sISeMYBSANFqC/V
ou66zETnbBBmG6pquhlTKM3BlBZ7t6NcgVrGI8Yv65u38KQpopZ09nKclMBbljqQjmoIGEx7X3AZ
gIGMxyOpLu8q2jV/1ff9Zpn76nFU9gXzOpvlduFtM0jusQsLYyjABStExQNSxZbdp761dW2+Z3Pw
YC9O9I5DcDxNY1O8aH9Qj9lQmS1YpoVziBmecI1LiiMRDUdqaI+uvzykjYKf5rL7TqigP8yC5hoS
RgbcEZlAEJFVjXK/vFcR5a9MkB6Xur3vxjza1k4ybCEQtscmIrWdEe+4b9tofPQN8PDUVL+GPG2P
8JvVPo3m6IAgyW4+8sy2EvBXl6pi/DgM1moWFrfQkfGWBPGXKnXMDiwTHoaA+YwDsmNTgJb4BMVx
PNll3L1lSIfcGKN1jNvpByTo4jgzBNp3LdLuIJzoC80kVgmFJSF0m7klmHzl2Ofer8b8JEvXu9X4
YA5hiJV0U8fMfes+d28U7ujtZFnBc0/F7zFdWJqIQ9Ol6Lkld4W/BADRG/hHSBxptldN2l1C00TX
sPH4yHplhDOTyhIsSs2vtOhUOdvnNP9cM944CLABmyh11KFkTH2scBO+12Nkfwrb2MJNhWmqojbu
QSv8D3MztqdSlupZ8g/ujT9Zj0bF1wCt1N6KkLki1AL/ga2awO87dbm48aYsvgvzUoWU8SI0Fl1K
sV7uSLBZjZ8uO5A288aDygi2RMgHCYqTw24Cz8Wq0ZeBm0PxqIMcmnZM4TKYLtBMvXXtatt84o7T
tHz1Y31ry/biR1n1PC2d/SCzXO8UkEu/L7gNXCKDk2O2k0jWoyHciQEICa1yQfZdGrf8zvgL/ZUZ
OIP/Lhoxk6MZ3eiAFXubzY23o0dWvFVJP1ySMMfkq/p4XxPWosPb+WKF/Y801fFnNAu8n7O2YZx4
b3SMWgzbDDkomQ+bgQghH6Umeotb9zjJ7Evk9zS6NN4RK3qHRYd8o0znzxR7hvSBVs4uCNqvTQk6
cpD2maRkzsHFqb/HGCtx1ljVzmHQcRqcXldbZ5ldKtgi8VQwINnnZsyftfAfdNzpO/Km/b7EMkrJ
An2nHaXF7Ug9riiXh3juon1dUm+bJa8wf9hKsb+gnJ2cmBwYGWEQ2XmEBpoNxAWGLl6zbmZomujc
FqwQq9w+0VH61cnzV8vxK8whjf0lcSjEq1IVfG9Fe+kH8QOi6wZED1MzK3jXDOh3sKJoVs/t4Cac
owVmLMmDQAJGjWGzcFK4GXUe8eys6/0ABHan4oGkxDSXZwoez6TgmPL64i0d55wSqwanEL3nB9Ga
kIDI2iFmZ8d2KOqbqpte3CUxlHwnelMMK9U2W74xaXa3neyrl0hxIEwpa4W9Wsp5V8zYoz2fHN2s
TXnA0FxuWkv9FhEIZcwdvduNJx+xKjKyUd4z7lnuK++30ikp6kMt3tc48G8xl1e3feN8D8qRQKbA
k5fDtceWXmPHM+NJ1SgldNa5+7QhCjjQbn1kxxJchDXHu6QYs4PN7vHR0UH01OLgbXnTCargCaG+
a6YpkOEIt6hQ8W5OJmfXikw8yDp7I1bsX6Ip6Y/1mHr9JqAO8tInINfoWtsE2KU9H4yyy5J+ZzXG
Jz23XDs8MOtmE7b/YxV0MYXx4a1TV5RbxKfGKYtNYtmP0WgeV7QcUE5yfIamvrr80hbwPhYzvY6m
f6pF99jRN8duDaneXwB+doy5MV0DsBv6mPQPH3NPFXi3PZl68DpoF73TmVJ3ftloZhPtxpkDiMDM
Yxdc5zr/b5Lu//vgx1Dj7w5+u6/5X6pi12MfX/j7sS/0f3FdBokeBL4/gnG/n/s+knZorBJJxQ1+
uoh/P/i53i+hizcOvkq4Qj04Ev6u0CLeumpVaH0JnW49Sf4n5z5H/kWhJbLH6RGzsoDcsZ411/Hf
n8Z7oW10F0WNdeviF3kGVF7uF7clP1Qs+T6oe7PDMudcZOEPR/zvy17w0AWlpdjV5NX4OnNuu5XG
KbfYpdQpT20aYhgT6y2GIcDFhDz2jBMucS1hsVJGE1GzjgMEJ1OfP42YsQjKrj2juYNAgu14GxmX
hEi5QmtdAIubxi2cl07THUjxYbBdZFw+uONgXomKs8cOSOzOfVt8sy1YbEq+0TPxQ9akACAhPM/h
zCYTEPSxGSnP2MisLy9ptvR0JyqozgEjdLwaZU6MiRa0rNDT3Qyf4FzSF7/PsgWEIlrloTM9Tw94
CD4Zcdt+aH0wNrgqwJQNE2ejTTA1kqOFrefTwnh7b9e0s9Ve493ZrToRN7/UNgx5SSL8nlDaLXXY
5S6b8CTECoNSngBPxjISHTp8Q1tumGqvtGg3DamTDTjeLcBoSjE0YKelozQ08KzgpsxIfkUVZ7re
pdR2cmL06UlDzkcQ5mSTF8tL47Hyj3Ny5djqvI2l558nNxjetaicTUI+b2fPsooeiOA79r6okrRF
bgflbd8OOpLLC5AFeuL3KWA16zdc3AL9i4m4tSBamoxtuSYeubW9CoMUqQlQdB2ZiUsjtXoIY0xL
+1E1CFdUszfjsUTgP0H3mY4U3bAZSxnvPU6l7i5W0NmsIqlVJh1NXEYOlMWm3l2Qt2SSBVuxvZUv
nGK7IeQBm/Vu/mDRZVlbzM4nosjHquaY0JIfLFIrwXFeKRgynMIGE4R4GeDy6Jsg0p3fvldO5F1a
AjVpzmJdpRaOpJaNajY+R11ewnajLS9+lMFCd+AhjFDalqPL/nndM3Lk899Guzf2izXMvoox+mRF
GWJFRPqHREYMgEMFSf/Ks6f7MWVy3xwaE2l4y4UtPmG2m55HOkdKQu0aD5OTiqza5lY87VJqK6Kt
BTBh9YAO1jXJPfDQzhKw/+v8cgIiR9nERocN55S4WXYV+Z2LLhKLJGfgAZ3LcApdI0/n5YOVzY7Y
EmelQmkY/eFQ4CujBqdJKg1FTWsmHyI5Vbqw4CPh/9qOqp9fWrQEMOC0kn3K0wIYFtFa+aVJXKBs
cRk/NhQlP/pNqtj61vXWTwQcKl6AfQ+obQU7N4ieZG5O6azrJ9+0+gqwlMNZ0Ij1QDPjICaVIEBW
ZFl0ThQuOlUH1rjxTBcQgulo4MUu2TGMxO3HW75QBJN5spvxO66wb9t07JUC/dSoOj4GUGITMXiP
YTbEr1FRT7c1h0pq5a14+Tlk/e/M8u+UUA8N8t8tiPQ1x6h+/zCvlD+/6A8NFD3T9fkjkrUf40pU
yP8VQf0gWJlLKJpqJfL8rwpK2zpLJ3e1LX3fEfaf5pVEarBGkFPx4fR8RGr+AxUUXPlfVFASk4EM
Ar4lr4JP0V/mlaToQOYzsDgpNWssokOltu1qG1303NylI1xQHKWzVnhL+9Vmavfgat3VeorNoH+Q
FdiGsMWY6gWRiPYt1J+nZDWutquFtdIYUjcCX2sTda8Rjka1nfvmqy3hPadUlrXxG9ZCfXU6H9G0
HPGsD0iT3zyKGG+rJA7vXBKOX7XdrEYbx3hfZe3zL+FGIKngV9Z3KogACNOFMH0PA/pvspvUuOND
UgX7lkpiFU/ZLazPGoLMgJQ4SpcMMOBkSgH7ziH27SSV9Wq5HpNSjgDDvlYkCAK0iY0p08ZF7JHT
g2gnzph5or4UeaGcW9MNistSQUQU0xjfZbXot6DHWLQZQlf7CGaOdxANBQORyX91y0XfxiOSracW
d+eRVvkMYlTvPRG5OwuJlvSGHK+Ow0JC9kXEZ9eQDSD0WT9F4WIHxw95AOKt9d4ZsHA9I7I3HgrJ
Lk8xGVE+MTTBtTZIWOxBJvwXC1xBSqayCOtZFK4JHyj6nfNIJyBuFQuV/bVtFNT+2l1DNMVYv7ux
yzZ79ZNPo1yvMlijeEM6QLyGORYQkk5oFrTerDZqqsuICsjCRhteMxIGCajfBp0hkSFhZJR75SFv
bFQS4myy2gbL+6j76lYAA4G/sv5twTyLCS85YhjVkINLIhHl6iWXc45RdfXGQyRCWfW6kjCRq3CX
eb2PrjW46wgsiTGkfUSfFBAE9PqOcI7oLUaIrVrFwnDNOzgwM1fH55Ae6URjXZu6EP//6iCvEbvN
0YV0CJdgMsttqNk1bOaSDBIlM7jLMhbBNbvERQFbhXOkyxdSAZaaeQGjQI7eM5Dm6pZDRPYIXn9E
pJEar503E+PeKWxfxBsDBgQP0bAmEUwX2fG5qwf8XXGVdd8QP61tikjDQsGhmRxORVXBscgyPGfU
dw40XCNY8Q9cpfn2VBbz92rpcJpjlOMKtuPEnywNhqiPrMQ0Jbwti+mgyNLXtXUtfN1Ashz7CZKh
f/fxE6lIx5w3WMRPMI5yb5Jl5fpmI7mtsc1xKbKRJ/Dhjg5c2rYV7ld7XmMALvTrW99u6/cGgMqw
abypPcVp5rnPH0mOXLLanjEitWaPkkESpnHWvFcsC36tueQsh5vK/0SF+2xdP14lcOk+PhUzZbBU
kFFAsvFqn7vMwtHxELa0YW8gWhOdMP7I+wwWu1leUPaq/FAV61vKHnW9Jtlsm4duDqtbnHgIU5C1
DDDu1UL4M3ZEP1oKZmBNCYUlgZNgLHhC0b3dntzSFvNhNV/+WJY1ioRKuN5TdPRWm9izVHms+mGs
bgNRTj3d5/mEpy/vxl0XOssJgWu82GsebshmIm3caZIReY/GWyS6pHLBpVG7U/22qj2FtOVYIDqN
w7anL1F9tzMn5gffDqLbLJzDK2+mn+xWs8klS2Y2BlAo6vfO7U10QDqeXoAuy2M2qvKAIgP1eIhX
b3RnfsssBl6bgkXnWgBXflG+VW4DB4WI/M3Y8stwAe5827X47cociNlSeUi03dgW1NmGmrZpLtlA
6xXNYadRhMFvTZ0R/xK6UmsZ4Ygq61CheI7BIpwZSnB95ymJri14uTufIC/sJKccH0fhuXt3gBeI
j16OG6ehLG5Ttm59hvYtj+BWE7CprBhIUrW+wPYAlg55IANbkifOW1gtwcEa2/m7G5TyJmq79JQN
SnwrYDBfVdxPwcHmEXjXtH76XTbT+Np73gyiSJf7OSuiLXvdN7yE7ZWopaG+Je+QaEOCU7PA/e4Q
vrsTk6ZoNZw0FbgMYTQ8CuLiMaMQORbmFvcBjvshC2aXQGck3+c8M7cdlZMoVpgFz/3S5veQpz2a
lkeCzREZbH+bRktw58UNZ6e2/A6UL0GGU6hOKGMNGmI3qYditC6EMgB5cFTlvJOrwYi7Ap9e87y4
komdHR67wZ8OC9kDMLZ5fT9yANnkVh896YG8NK0fqFsW0xah9WcZj9QbdaFZ4uPQp/KuzrXtvEW1
rK70NLcvxeg+Jd7QYC1ejZSxAUUHkfBFB4RcCrRZ9dgg9GHlKeo9+QL7c+yM060bqdcldvxPPaeB
YzV5SOneqKu1qoad52lop3DPCPU01fRx/Q93Z7bcprJG4VdJ5V4uxMypyq46tuRZnhMnuaGIrABi
nkFPfz6Q5W1kx8ne6MJ1dOdIabqbHv5prVXE4lWWEUVSg9hBaQW0OQCzlX/QmEkuXGdOFE1r6Hjg
bYURBeKkFHB7mYM5gHkqFCZUPFTfzbgO/IOxXCjEuoKiCI6bxEfBZTSWUV6XkggaViG/E0NP/+aK
OPZchSicFku5AGE1ik9KVWJVgxz8XnO9n0FfUlwQ6fxepXoyi7MVVK3jqo5V+KPM/Jxo1HJSoqlx
2xgQtjT1cnztjdX8ZynX6ffGsKPEqnPBL69d+IkpsYTl4MT2vRBYVPpVbFbmteOMzYmnEpmkcq0+
L3OKkHwM/1JT09Mik0aXqFipUzBYdgNqIFj4ObD3pI3Om0ojXoNPKL/prmpO7ACZJyM2lMu6qCB4
8EKHGCnZ8fgCYg1vBsxNDCdU1oyuZS+C+hse2CnTpaE+BrtznAXhd7fIiQJG8WeziIVTT0i/5FyJ
U6r7lQnKu9/Gon2yrJbZ+ahR5K+w7aMVoHkoUY6hKZ+aI8c5Q2wcn1CPilmhpcd6URG80GCLdgSy
M4CB4lo+r5wcwQ9NR97LkSUfiVGxyLn8RuBuWSrwN54HlR6hezu+N5eytm/7KiFTMZLRZMi9CeUw
/mQcl6wDkXCnUyNbb0uGuWqzSCrlH1zhhwSPBEBAYixd67asXulGmt9GKTLN+ymhVMbjUIq0qkFk
5OUMIkllPy7sz6qQEHkgbwKsoAbIEKJHbuRBcAtnB2QZS8yPQxE9iUkt+ktCs0I92i9yktP7TeY4
V0ENHyDlMM2dAOHkWQPG+Z6iGQ4oIqQzTqAS+BFiL5M8MK6lXICNJSwc/hTl+IyUQXLjKIFfHhAp
rqaUu5A0d9BUPy3kZQFviCpMUlM9IacGisWzm89ghk0VPrrii1M4X5dmACW7MtYxKFD1+lySVtjX
spqYUpJJp2oc1Me1YAPiNBz9UC1U3kOOQw+SMBBgCNK1QgWQ5DkKOyHIqViq0Z+japDb0XcMAk1a
4BMElvUvscHAy7hOb0mUaIfQmpjLKdchcWiw6hME+DyUrtBoqtMxFfmwTSCr51Bs2NjZGfoKsgRG
vinO6lSODinOrsnccZ6SVa0d/UDjvHlYJoX6k7huNXU9VVkdOwaMLjHEJcdGaphTvzWtyDWgXVQ2
CRJcaA0foPOkUlCQxNNlWMJ+WOjFrIoRezXB/LScgeXEoyT5jBr58gJIQCx95n7zZnnoS+T7KAlE
tTeHYDTzFGLcQW2rNz5q8OCbRka6D/8cZkFYyT88aHHtQ0MNcb1LAVsQ+RQP4Hx9CzlofY6KUjYl
RG3UxMh18zrDDGgZU2JO3kayv2pBGUbA4KjlMGXjG+yW0c3KrKClCmznMPGK5lzJFOUCvYyEIvsk
GUEzpRSniJvnZzU1y0d66NZXYyXP7pwqOE2q5CzWV/UkMcTkMsiibK5yWh6VeZKe4vWbR6mtf8FQ
qw61LJ2UWipfL0vYtaHo8DxKJOsAWqPMWVXjQ9dYrRoCd2CbDyI/RMI+ENXVTSEJ8Y/aC3w0CwwR
eqYYsOu+FBZMiETGxSvSUTBvKMuACalZXaLnm7pT2IGUAk2C+C4umtDToN0qZFM8ovxUGp2YtXqU
UMxyg6rDfQzQ0zkL/UQzz6VQsPLKiGc1MZp9V2ctnFAgb/Kelw16f97S0W6MDmfogjg00opyytC8
ilowYksnmJLqVOLqftVCFWUp1W3tyhbj5Irb7yRfwxqfefKvoGJax/d5Ia8BPy0yS7pOBBh01zYK
xMNYMtVMiCgsb10ncHiYiQXBLPvk7Qe1uIEXD6LymBuByDhscnz/LB6tpxjzCWoix74Dahg/NQim
BH+x1XgNLca45bOAvwx7dMWBu47tzOv/2AskBQCUROGHsAiuIhhys08fXz4dag7doDgaSQaoOLaw
P/GoASjc1OjDLGPxTq0qfQLpdIMp4afHUU1t7b6aa9iDowrRlnUx/C8fPqZae2vsZAxFARYQoBoU
bm+NvaK2gmBuGh1n45jWAajDK6B5CYwFywwPSh63cPRSbiLkBVvEjIDEOj5AaGv+sQ1RxN3b76Id
bf9dSIpOmkGCz2QsQ+rXfxe2UVHdYuPMaCkE2JVE+EFxgZGvGlgzjHT8O0iHQlpj64EtCYoikvEQ
IFjZFtciy9VQJ5dFx2GQGueU7cTfMm5jyxvlACbEqJhTDS7LF3apF9JJmlLz0hxQ2e0Es6WyBEnd
oazUJJTTyyBtWURGKvD1VBwbX0oHeHnpUb6wL6/CVkwoULMHAcCrQRRHzle3otpSiyQ1ODe3KPAt
4qViRUpZ5bdUACnZ4SpH2SQ7QAVEkr+vcCJJ0uk1XrptQgPhSnYLdeaauAs0CRS732QPre73T31V
hreSYePG5UnG7wFvxJSUyXUN+y4luu2FKeBVj0fm9Yoy5QwKWrzFI92GSaThh+mlDP+AepSCBq/J
RuvwV7T1ER1Gvnvp/zfhzceBTKzcmnYFnNfFIm1uFkC782wT/Gu/7fb4XfTvfvR2Qx/+LIMoCSIr
vJdB7DrV9fitNlBad/PiYfHpo6RADCQaRqse3X2ImPqw3jx+PdLVPcBhBFVldf39GlXybJJ+NQ1v
j3A9n2//5q0RrCfo5OHTR45xgYNj0CzIiPiJnG6cyq/PgrHHY1ROK2Tvus/zNf/WYnh7hP94FuZR
EebtarTdKOzx0bfs8X8yB1stPFsJxp4iSGDuOBu7D2/6+UowYGDtZAmJm3Sf9QPf0UogNqVy5f3J
LFjQR4UTF4Jxd54zzqf9QPqbe5kLAjLZ12ZBU/Y4POGIBQjXfbjTeOA7mgXymW3aYdgsQDKGoL3G
nliPkg32fC2MxwDDWp0DCsTf2/gxW4evAvQcgDiy49X1+MkI9cYvgn5DTwHL5b0NH8ZaiTN80OsX
gRKgQ9qWbLw6fL2tEUGwgqK2p03yvjYBebw2tzZoFuCVpgYGaKMqvD4LYBkpoWnVPd7rLCi6PPhA
1PZk1jnQELJ57YcCnpdbgSojoUugUunz3nYEnDji+pRee0pP1/U/MZOMPSDgmkZief2ut8yk8Xi8
95QhfmcXAguU42vQVpC0PTLqKqlIGNjbDy+5twjGxh40LcTeNxfGe1sElLMNXgOI8hiQz7cu9KuT
ICggsOAKUN+djUxZnjTYU2ALtCEacBbrg+CFTaBiEyhSC/vYTM+fXgp/YD49uV4Hjus/dE6Xu8he
881+9YONKf7y+0dHo/UmxGc4t+6HbdHK+tl/+2R/9czHzvh79uXGGHz+3x8H+PLRr3Zq84/H7iK1
0jkw2M4RfezmhRXguP3Xt35YgfXcB6CAhZX3d08+fez189kZ8JuGM2+r3ZbnYXC7qbuK+qS3iBGw
Koc37FlhZmWbljqn0FA4ooa2fGD57s8o3So5Wp+ng9smT55aD9Gml22v14fU8JbDcDHP3XmBZ7Nu
rGscBofN369WYj3dEG+tjsnCtyorXWxaalvWoUnZ/D2g5Udv7EP08wOR8SL40a/0Iky4g1V4yKy7
D/3lvbaYh0770SKiPK3fMhcFVujQlo+ZcdfdtNMtb6mjhB7a8MmD5fQW4KPvOLhdSIbDyO3vyHWY
ZnDT4YO7JS9DZEbHHBvcclT1X55s6Ni6Q5s9e3k2qWNxB/vljJ4Vc6/ZdLFbF60dvvmHf78Vz6PC
zV5MM0QwO7heZjCG9U4PRAl3cb3MLOimrPBhM/p2OkQQ7Dt4hTMry6y5U2SLPO+tafAM8i6mxJ07
rm3143kw62CwDl19M5e7INsCkIhY6TvYMLAJkmuHOj3unU1U9wk7aj0q0u2md9LxX0tU/Zqx4Y9u
x4vFj9Tasp5EEb6s4W/yYlFa/Xvr0agfukRafdNjK4gzgBe9jUn7rbO/i/Z/rZ86eMKrD7NF7c57
1xiB4DYGtouef6N2ZdNSd6SsY8yDm/6tEMTQieke8BI8hvBaS2Q3tP+XaNlvWummBZq+HVw8l56P
RdL3amAANHZwyF6mC3Lz/T53geKhU3H1Gya1gS/yxokeFh9Oshd3G0QvO3iRt79llxnY//UDXi7E
DYpxYPN3zP4iyxa9k0taJ0aHvtm7Rd33KiU6rWyW0L83rz7nlrNppd08jwHKod39skhhKMt7LXMV
7+AgfAt4M/D93VvcOyDf+1uTRGsbuB46I/eLLP/waufJ4e3AGb53s3kUZm7vWHlMPQzuewNBW2hv
JqFbJ3Ax/vZCfi3S9JSffBl/2mSgX/tv/eBa+4u5v7DSv/4HAAD//w==</cx:binary>
              </cx:geoCache>
            </cx:geography>
          </cx:layoutPr>
          <cx:valueColors>
            <cx:minColor>
              <a:schemeClr val="accent5">
                <a:lumMod val="20000"/>
                <a:lumOff val="80000"/>
              </a:schemeClr>
            </cx:minColor>
            <cx:midColor>
              <a:schemeClr val="accent6">
                <a:lumMod val="60000"/>
                <a:lumOff val="40000"/>
              </a:schemeClr>
            </cx:midColor>
            <cx:maxColor>
              <a:schemeClr val="accent5">
                <a:lumMod val="50000"/>
              </a:schemeClr>
            </cx:maxColor>
          </cx:valueColors>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chemeClr val="bg2">
                    <a:lumMod val="50000"/>
                  </a:schemeClr>
                </a:solidFill>
                <a:effectLst/>
                <a:latin typeface="Garamond" panose="02020404030301010803" pitchFamily="18" charset="0"/>
                <a:ea typeface="Calibri" panose="020F0502020204030204" pitchFamily="34" charset="0"/>
                <a:cs typeface="Calibri" panose="020F0502020204030204" pitchFamily="34" charset="0"/>
              </a:rPr>
              <a:t>Performance By State</a:t>
            </a:r>
            <a:endParaRPr lang="en-US" sz="1400" b="1" i="0" u="none" strike="noStrike" baseline="0">
              <a:solidFill>
                <a:schemeClr val="bg2">
                  <a:lumMod val="50000"/>
                </a:schemeClr>
              </a:solidFill>
              <a:latin typeface="Garamond" panose="02020404030301010803" pitchFamily="18" charset="0"/>
            </a:endParaRPr>
          </a:p>
        </cx:rich>
      </cx:tx>
      <cx:spPr>
        <a:noFill/>
      </cx:spPr>
    </cx:title>
    <cx:plotArea>
      <cx:plotAreaRegion>
        <cx:plotSurface>
          <cx:spPr>
            <a:ln>
              <a:noFill/>
            </a:ln>
            <a:effectLst>
              <a:glow rad="127000">
                <a:schemeClr val="accent5">
                  <a:lumMod val="50000"/>
                </a:schemeClr>
              </a:glow>
            </a:effectLst>
          </cx:spPr>
        </cx:plotSurface>
        <cx:series layoutId="regionMap" uniqueId="{9CC69E10-6DAC-47C5-8385-88E1AA84E816}">
          <cx:tx>
            <cx:txData>
              <cx:f>_xlchart.v5.6</cx:f>
              <cx:v>Revenue generated</cx:v>
            </cx:txData>
          </cx:tx>
          <cx:spPr>
            <a:solidFill>
              <a:schemeClr val="accent1">
                <a:lumMod val="20000"/>
                <a:lumOff val="80000"/>
              </a:schemeClr>
            </a:solidFill>
          </cx:spPr>
          <cx:dataLabels>
            <cx:visibility seriesName="0" categoryName="0" value="1"/>
          </cx:dataLabels>
          <cx:dataId val="0"/>
          <cx:layoutPr>
            <cx:regionLabelLayout val="bestFitOnly"/>
            <cx:geography viewedRegionType="countryRegion" cultureLanguage="en-US" cultureRegion="NG" attribution="Powered by Bing">
              <cx:geoCache provider="{E9337A44-BEBE-4D9F-B70C-5C5E7DAFC167}">
                <cx:binary>7Hxrb9xG0u5fCfz5UOl7sxebBQ45M9Loaku2HPtLQ5YUNskm2Ww2r7/+LVq2I0+8ypvFAgcBjhF4
PCSb3XWveqom/7yf/nFvH+/8T1Nl6+4f99Mvr0wI7h8//9zdm8fqrjuq8nvfdM1v4ei+qX5ufvst
v3/8+cHfjXmd/UwQZj/fmzsfHqdX//onvC17bM6b+7uQN/Wb/tHP149db0P3wr0f3vrp7qHK603e
BZ/fB/zLq8sPr356rEMe5reze/zl1Xf3X/308+Fb/rDjTxYOFfoHWMvIkaKKMEoJ+vyHvvrJNnX2
5XYk+ZGAO1xgpj7/EV/3vryrYP3l4/jTh8aXX6/+6ESfz3P38OAfuw6I+fz5fOV3538i777p67By
LAPm/fLqXZ2Hx4efbsJdeOxe/ZR3Tfr0QNqsRLy7+Uz1z9/z/F//PLgAfDi48kwsh0z7s1t/kMq7
ty/x4K9JhaojSqiUgvAnqZDvpYIxPhIyJoSIA3m8C3fmpXP8WBZPqw7ksBL0N5TD+//7Ev1/TQ5M
HjGMKZexfNJ+eSAHgo44FyxGDH8WFP6695N1vL/rDPiG0NRfr//v7eP52gPJrCT+HSWzf4kLf1Ey
7EhQpTgV6Eky6nvJxOpIUqI4V/SbX3vymV8kk3f3Td3l/4lgfl96KBcg8G8ol6vr/6JcKMSTWMSC
ih/KBX+2mBiM6sBUrvxj9p+Yydd1B6JYafobimK/+S+Kgh3RWCFJGH4SRfy9iWAMNgT2IWPEv+76
ZBz7hzvTfL30v/dYX5YdSGIl6W8oid35Swz4a86KxEccXBEWXwShDp0VOWKxpIzEP3ZWO9v4/OHu
pQP9OK5/W3ggk5W4v6FM3l6+xIK/JhPKj2JGlEJx/MMUKxZHlFHCBBM/DCBvH+sa8tnHx5eO9GOp
PFt6IJeVwL+BXF4+4vPS5Lsn/2JpAkkwR5B7MSq/SeB5aaLUEcIxhTTgS2nCvoriyYsdFA3//lg/
ltLB8u8o+XtUJPv/ogtj6AhDIBExe5IFOqhIIN/CDKI+j/m3uP8839pbm9dNDsXbczl8p/5PRfMf
6sTfV3739C+vVvL+hlJJIXn/9zz4i05MHhHOhFBYPYkFkqrnJoKxOhJYEom/5gBf934ykfTO5r81
vs7/g9jyfO2BZFYS/46SufrKnR/lPH9RMvGRUjHniH3BVQ4lg/gRZ3J1X183/SKSBoL93cN/kH6l
31YeigPo+huK4/L2K2f+C+IAQAXqdMbpl3LxD7mwgFyY01h+SQdAXM/d1+XjcPefJGBf1x1IZCXt
/4VE/j389Q0j3NyFu+1ncPEZAvby3c/xE8DOg6Uvebkn3u4ffnkFUQOBML6BlutLvmP97/7/D4se
77rwy6soBpRGSUJjzBWWSsTwvvHx8y2FIYfgIoZCKFYEcByQa934YD4jnxwJyP8gqskVwQFsp2v6
9RYVR0pIUAWhBIESSpBvgO7rxs5Qp35jyJfvP9V99brJ69D98kow9Oon9/TcSiFnMSaSKoDyFJOc
SgU7ufu7a0CG4HH8f3KRs8LizpxOLZZ5MrqGJ7yYxZlrZdQl84TZhvWFunFl29okaJ7rFA0xnzZZ
F5r2xONK6zRurDhdFsn01g7NMiYBoelNT1nFjnEh5+hNqQr/vq2Z4OngaFaks7bCJQPphnM7VnGb
WM17kvQVWliim16cq0LIJulGv+wXvASW1EWjtouV1G8HXEwmpWOjT7tOuyFhcdR+UsUs72Nrhk2I
VbbNFkTrxDhAvtM55oRvcDYycq5IMJtOVeJiZEgm1dBfd5ZEO9lhmiWzHRDdAOyc37iimN9MBoVL
n5Hquiqiqd7KqYlMWsRTxpOaoyxOROGuLXfDMby+3eKlmU+yUahT4nx+hk18POXER4lp8mbHay5S
0pkSmDmSEm8mrtsdC5K8t6okSU69vcFkEltl2MdsmN0Vb2a1qRdKX/ek8PuhmdnGYPLaiKXb8FrI
bTTnIplcZF9TGdlLWo/XHI1dyq31NnGTNPdCE3fMZENTL+vyDFeV3eRiaq8HTyWw3eTZRdd37HI0
NYWz9Ut/jsZtS5rmUjtf/VYMQu2Gks27judxmnnZXROh7rnWzQZrrFMRmTYRHfxl+PJesQgnXlZ1
6iw/HcamSmWu6pvCd/SaTmo6o06Or/MOtW9caT4VhJo73ohxs2TTmUV83vDeF4kgmiVeuOjN0EzV
jfVlldal7S4JLU0agCOpVuUbb4twGU1ln+aQ670rp0UnrCPT5Zx31cZNnGwxh5NG05ht0KCzt0ss
oyqxcUv6tKgbBa8tCr9FzuEzalp0OqP+wcLzV1nP7Bs51NZs5kmra5lz9yYmbEgWrwuduGxZLllE
Q1q4ITou0dQcL1FfXyMCGi1FH85JydjZbEniPGU7DGp/0Ux0+TB4yfNtFII5ZYXBG8dK2yaUDmzT
luV43Bc620Vtfwa1RneKjLgYhq6VySJqm7RNXKRxMUUntLZDmXSgg5sJzVXS6yikYgm3UWR3pluu
43xGOy3P2KCmpGvrX+exL14b6q+iYG/x7NVGWXaNW2S3dezuOyflviqa25maOrGk+1hJb3dlTsKc
Vjk542y0ab1Kan6IMu2SBgeXLD16z3o1pcOs9Ikbh+hijJXa6t5lmwKxD+AMuyviqmkXdb5JbZnx
/dx27JaJaEynQnabSnuURJSAWUWnUhue6Jx8GKRut72s/LGVLdkX3ekS8vNQBZO0YUnmOr+sdZcn
TKgk8qzaVFNRbcfR5btyLKaUlUV3HWtq37iYZ/uhADbPS0n3SonpTTXZ5bgOJdk45/zxUk7igvnh
dPZ03PuZ6XIz4m58M7Jw2+M5OonamV+ODJsaDKzp2Ihu6iJiVm1a7EnxetYjrc7Hhl9WPv7UtA3f
CrGotwWd3Y6RukxMnOvXM43zK266u5o5tudt1SZLju+EG3hIjEfhY+eBZFQZt/HOkrPM1tUOEQ4q
jTKbDhWzWzsb+3oGt5uYCfwdJHFNk8p6/rj0Kk8GDf556EEH83maP6p5yrOkylF70/rppkaiTbK4
rq6ayjCVDMr27nXGNd5TN5ru2BEmXWL5gJJuKZq9KwfdJBBu7KZxtboOhfzNNWhMMzLh3Whi2yc8
xnmbRCLEiRN11eiU5VU/ZWnT86JPXC6iHV7MsotJqHazaScw8dqNdupvjZ07zE7moQ6nVY1MD7El
au/LqGjmxLCiR9vJjERclT5u+qRopvik7ONiOZ+YF28mKPVuqNdgIuUIqrf3YeC/djj3p2ap5i4J
C+WfAmh/nuK+zUyKIy1ZMgonr1sbxWSjMfKnDUHxaTvraBdUUWcnug37OafZlbG9vYmjgsrED5E8
NqUGxVXLaD64mHXbgbDqBOeZuYshn1NJFfuiSLM5sPOMepwnkjkpkmXs9X5wMdgHHYYhodMSvXHg
2n+rS4bGBBC58SIMXfd6nkiLNlLMk08WXLssKXhPp4RNS/8eadretR7lHyAmZ3UyVv1FR5fqSg9c
/YYm0y8bYzW9joZyeB+VdrmskNxLLOxjVVHxwGvF8yQ3tO2Tng92mymW73kz7CvwtmkH+cO8ma2P
q0Rp4GJSFCa+7YeZn1vR2YeoQIU+rXpCukS4fHyjWyZuIY6orZuWbNfPM4nSRkqnU1xik+19Pk33
ZZ4rBs4o07eqrIfXk2wRaOVsotd5ITqXEFr5D8Wsy0tqXZaBFgcmU6KqZa/6tnxgoS2v3Vjf2M6O
JM2XWu9LXFYbXBowVteE9mppaavTbuziOSFdrqvtTBS6cNaMH/g4j486Nu3HmLFhV0eF8kmUqUwl
UztHpx4Xw+uag79JaOeje4bm7mr2daYTGsXdSS9n509kNLqPKpvqOJ0X3e8dDnTcFHnRzomSVfG+
jXPGkrih4bpgurdJNNH2UgRn92BzeXHcE+TmdGZTm8DJ1ZZKjz5oFTTb1jkqpw0eIn7cW5Zfa+XQ
cUtnmdZ9XxdJG7PiGNxzESccD1VKSyLP5zG0p9gEsRGOoc089N3GElA4ad2STrFn2xbxNhUFCVtu
asUS3Lk3uO/CpoOW1bmNhr5KpG7CZpKF23eS+TqBsQT/ofRFkEme9R1O+6lrfi1n4uptYGpuE1e0
y6OABOpCo9FtKBGfWGbUO2nq6q7JumZHjR3sBly8rpJ5KJsoHVUJHpFPM9rnEskLtTD5ceDenjjj
5iwlGV/qZKYz/SRHb86CxvRWBWPyJK7oxJLWD11SN6Q5yeIJ/lkufRmfFNTM13Gp2yGdiMF3gxpI
6mruPmZMhzdcBVWnxUTQh36BBHKbobEHXUJdn8S1xA+qJW2x1ZXIotO4KfSvuQr1u3kJotvR2kxn
fdfPx0MRRWaz+K5NK0nLfZGVr9HS57+2tbzM5mHTmGpIhzjajnFv0noO6g0LCl32kmWbTFUy33Dl
yJWwkBvGOJPHrYDEIuF+YJ+UXIhIWOOy25rNck6KamRRgiOK5xR3OTpWNssuu0CW7UgWvSeFHY4X
xsNmcdTueoT6cxyZreh99WgK0vs074V8FEXuTTJ0tdmUIvh3GZf6k2CN3g0NomUC0ly61HnWXxgy
lfsM0qwu0Zojl+Q+K1iSlax4cEgNdeLXv1xkLLgWOl40ujXvrZ7s25wjc4xyHkF9oPtz7yZVgIKL
+Kz0lUozBDliNWan8VJF3a72bX8S56o1SU2y8tcultgnRo+DSUzOg946R8S21ctyVkbYnY6C4XOg
0J4Tluf3esnDrspDOKlcO+wyRet9azO6IeXy3s3T2KeYYH+X0Va+pm0bPWKUe+iYQun3pS79rri6
b9zswYV/GZj59vVfb5sK/vu85veL67zN798uvg7qvPjU8WOzYi7d4UPrab696/ehkbUy/XbUg1r3
abTn3xTCL97831XJEvqpLxXJv2M/vxfJT2u+1MgYkSPEoAxeW+aYkrUQ/lIjYwRAOoAjgkMt/rlI
/r1GxgCxE8oVdK4wgzoYGoXPamSFiYqFBNxEwkv+So18WCKjFXhZZyxgqIVyphiU8M9L5DX3Qjpa
orM46LZQO+ikxXP/qx8Uq/1pgcCQ26RUcWyKY9kFsOFzqmw1brNKMS5DAvUbc9kpUzou6UUdEYrE
nETBZKhwSWx93h33ZREmfVzGOc/zc56NAxgDeLNC95B7LLDXO8SHsV2yJOshlzLn4PI5JLDJCGUM
JJOQhESDgKBySqFt0adgjzafk1brAX0gtdchbcDe3XwDjhp64NuYZaN8E5upN+oqz8N2DIppCwkL
iaqU9/WaSvZ+ieYE6nddphlv2tgl/99qns2/fYekfcXtVuSFMGgJ/Xtk6aDD87vlfF73xXAEYEGS
UgHYEYw0rEbw1XAAVz/iYAEoVpQDCr/CTl+wJYkBbmQSwF0wtGdGgwEVpoSD8gIihAGzkn/FaChA
xc9wpXVHGKcA26SQW8DUBTkwGosLX+Ox5I8x1qFXW+IYwBMpckO+3HLeu/KORZ6D72/nDvCMQCZu
pjRqNPqU1Z7VkDRC+JGnyvC535QqqtuTUVW2u7C8cqCUTTlx94mXoZigqhfCFjTNpGT4EQCaub+2
ZpIWknDu9D2taCsuM5G3jiYVzjs4CnPcV1cGozDWm8xyX0INO/KqOsdybuHIWVXh+YxUtC5+i7qh
gTXPRPoD9G3F1n7H3qAQRTDdqMC9qbVNQhBoxHPHInGV90aY+FGPTV20JwGKOXZi2dB5ebJ0WcjH
dMkd9EksghJY717eHkNf7Pv9paQwiQSul4Kk4DDf778UNO4EEvlDgUta5mloKKcmUYpEbbHzAJT4
sPEmZMwkEYsWV78eGZ07kmK2iJGeBmHqrkyapoXK5lLxuIV7Lx8SVPj5GSWilELzTkFkYNBKkgdn
nEweEeNp9CAiPyCyyRaZyXZnYxYoSmofhPhYcqTDUzR/GsP8c9ms+4KrlwSmHCGQAAL2PW9cPzey
iWj8kM2gcyIZkLPdr4ZpUmfJWOR9flVrmNGFKt00MAuZvEw2TF0ckA24L8Q8AhECZinlypZnsGzG
hzyC6o0+RBLgDpryEQl+B4YUhX2z5NJe5hFu8AUt27m/KTuEFpPAwJ8FpvzVk0D8WyMwFKsI+tkr
gPzsJEYabYsZ+QcmRjC53YzFgssd9yMUeds81kx89D2woE06AK7FxwbNg1fbIW+QG/9EKhDTv2cL
JzDRyHksuADR0AOpQGxFxVzW+l6rpeb+uGldpedtpKtOzcdz7CdQkZfpxweeTCKuIDv5bKiQo9D4
gAGZWgpI00P0yeSAZkYnE8RtMIhqagzMAvdjwRaW5lUHtVAyKUKBETwH3OKmcqKY0zrCvr5Rlal8
vWl548l1NeR19+nlY67+9JkvkRCxEWOIcSzBh1Nx4Ev6Uccetcv0afLBgxKgvkQgHzSNlEfJ5OkQ
3ThStqvRhLFZP3KX9X8inz8wC68NCwH5i4oZZeDavtcWwFK7MHei+VRbHoEPL8B7QTdgmFGY+RnV
HPx+l/W+vKsKXoNH9a7ymJ8AoAIIRdIa8Lar558NrKrzxQ5nbCodYMcvswsfGhi0n6mQZJ1UBgkL
cRCfJjrWTgGm/qnTRETVtgids/3rFkBFV6djO7dwuEhWA9xr5rZq5k1cLnN0Mzqn950CuDlLq2VB
81ll2jropIZmDSRZPUeRvRaVypYqJVRN4BJJVMy4PkWLsvDWMtdj2/6JmWJIkr9TACJwrKAphGAm
WMBI14HHAM2s26Ee3EfJG17w1CFoeLRQuPVK+RQvMgLXrucn72l7Bvf6z+7EYR3DrWkMVLS7fqR/
bkPs0IsTyDYUGBKGjH213QO1KKeyq7Rp3EfnwYraLe3KmF0QbOh8RqGYBnYoPdjltjLTPEvoRvix
NSk4/FFcZ+2ioY6sWLHc+qjvxGWcizVBmNhQWXVc9nwVT9NRBSo0D5IP184X5XK7WFGOZYIsYIqA
EQH31yy4VgYuUqjwltu4miaQHYWWF3x0C8pCvHG8o91OSMA4SFpOWQ4JRvt5exVn0TwCnjMV8IoG
kgc4eR7Va24QHK/Ku6kTdet2avB4uGG0WcK596X2ibWVJ1UKUHk1nWQMguuHOq41ux3QgEHJJMB3
xW9DWzeQorys7IdeE7gP6ImEgSQmBaf4QDWonusMK2c/LrjqfJYA8iFdl4xN0dg97dsRHMXLOx56
IyLBFxEMcRtDmvOHHTuPOjNWdPxAF0B8eTr2bHV/pJMlBG8xtFx81AVdQAlH0ocuuwBEUoKevnyM
NZ39ziioFIJIiBWcIMIgS/7eHS106NtIieq2YnUVaBIAgI4em9YAen9myq7GW69lk78eujgDj+MM
b6BtGAcyNEks5WiHJJCsPbM6FjcTtOYASuxGLIbrEEcoT1u+TM0ZKBEyCbQ3dO4SpgVejd1AvXbd
DAayi70uyrBa/gBTAFfw0wnp5oSWnk7D8csUH/q1mEKAWn96QT7Pb0BN8D3FpdCmHttOvhv6GkES
y70nkMQOUMaN0BvBjJ0YPE6gtlOpAApJsvA5s42EW1Wa9sVI9I2exKrSpM2Xyp/kjtDVRbZLh/Cu
tYPr8uOFzyVYnR6rNafGc1yBdUrcghm9TBI58GwxZEBQeRPwaiBBjNeW/PMMpKV1tTRFTd7FAWBq
twsuWw8QItqvpvvZjmHSZYazaTOtJg6+cnUp3rUQaCKDIY3HE18vNW3ZlXdWFZKd5NBvgEvtPDbi
UrcTPAU4+ErinFUA9ZWR9HTnYj9QaB9DvABy/4S0gwoASFMYkHwAn2DQmUG+9z1pYSqxtH0zv6PZ
sHqq4FtQrcUueXMfUFwSQD+hyb7cSlKv8bGKGgwCmURls3m7VAKHbKdo1I/vIEv1wI5RFhS0jw4L
eJM6jxSoGHTq3OrdenCbJzlxI7i1ABkJbJgHjeAb1FgYWFFlDFgRgjTQPeS2L8AkjCIFfHviz+oK
y7uXmXBgozGkC5BdScIB1FPoD6kuHhcmZtFGb4dKNuAdntJbYgDQLVOoLE1W/5lbOAhH65aMQmKP
ICwhmIk4CEeoaCBrha74267HoCFhDgEUCmI/8IcVjkGzTo9RM0FLw9IZGG4HXUPKAk4PuDT6yYbX
UnSxLnbQlojBGYBBDtce5t8gAlQRGH6YaghUX8SWtWMNrJxsXIOtgBWt4sjKaRVEVOQYPtRcqOEa
NVUDJ+FlCbEJ4Nm1Tn2Z20xR0KlnmSIQvwYBcBIwZA9Z0GFlA+lgF2Vomt8aMwurodNfUpfqEeni
UpCF+XnbGui3x4kiRBUm8b7N21NkoenEEwfZTnTmsypiF7oykqbt2EzZPcotOhl1z8SmlHVjH2Cs
ZPHXVSMq+JHigu14xQaMpmUTF9BycmkL+WPX78aRx8Olb42emkRUqMLnFHkM8w61VxhQ+tB7nUCT
r12KxNSDZ1OaTeUAxjAsfpxtMkW8YMVOEdyzG2HDzLIUTbgf+2OnRoM15G86C/tgJGRmqVzsuCxQ
1oIquv1UzrpP2s4VYjcoCZAxr6JpeTuKhuS30PbP9IayQHA6Q30KHUiRhQ5a5TkZV0DMZicw/BM2
LTRAlzOtaoSO8YgN2WVRFxu0dWVTsXczH7IyeqcaNE1vpzDRcBF1oY6uIWLI/oF7Ify7RQ5Z3SSu
abDp3qhpseWxzgHd2C0Ni6smUWVDiUmlX7o2/oSrIq4fDHHNMK1I/tw+qj6MI0pLO3a4OAm6bnm8
gTqAW3Gsq6gUlzCjFJXl8SAc6ax5NHFNA3B5whQaQxcLbQZQ6QX7zpk38POmINC2hs60k/te6dzY
85pPZZttiyEL43A+cp3l+U6zauz5ta4JbfeiYCaLd6ArAroJblgQhHXbxfmokixiog0bo/1SzPsx
6yKTH495BdEmLdXIwMEOLu/5r03UC97tQTnGSKfQSe8AX+gdZF0qCdAzn8QVNLUkfISni1GeW7iH
FFT1Pl2gId9+WvpWkeG0EN5l5ARPUSRlOhe87OXxVBe4sglnwxoXEY9yICejHILK3aRn+GVXWnCj
eHY1j2508nWho2K0O1nSiLh92c8qHq5EQXmuklapFZOQPnBT3spMA1p8xpjtgFPR3ILLvgCv3Rp+
FlHtpT2H7niO7euiGItYb2E6YeyybZNjCmcHl7UeaR4ii8gWZWbO2w1yZeHjTR1QxOtfSUZq2K8q
rFLv+ixu29RD6Q2cJXGfQwRJsTDrS+D8kLIkbavWnJ6ZDqhPncE1FbvCjCvHqA0lfDSdCdFNXcnV
5bMhZLFM1RgaUIClhnzjOChfwXPuiVQT+ALsawsJfyCWdBp2swZ6lTc1zlfxYMcM4e+xnVY+1wym
v8Im6iOYozqJ6jI27LFtoaBpdz7PIdNKxxjPsk3z2PA+Agmyvu1vQ1H3eQ38iszSHEMzm+HpIi7k
euQcJO2WGwGaBTtQuNV+0tG0Kpjw0Sp5PkdwzUKnDa4NA0yQ5xBi43aEMwzwAzyg8Qs93lPafgLA
zcA1PrlG3JScaUVTNioAgBInDQZefNEevXQKXimLaCVOh/kzM3rQGg+jXZ9zXMUXvn6jHS8vKHSb
opsvrI6eHv/K5KfnACkg5YWEwRg4AK4jM3wqc+in++O8pjMQ3ZIFfhueQDcuy9ENFOBZoxL+JKhm
GQKoGlTevc/2NVaz5ms3eZjFlar6Brg0kMrCI8QBxuZTgDn0oJISzWvSm1WcwEUroSv3ST1xsHFg
QeDXnmgyJIcaLXVNLUZ8MvfxWp2jJ9E+qYfQpQX+CAY9RrTl0q7ET2I2oKcZ9us2hhkBF+emRdK8
W6Kc9eEUKKUre58UaelnGMnYApHrW2DaoIN18DMMCtrVBbMe/Ymh0TIu8KWxtGEw/YZ4XRb7BYYs
J3ecIQCR0HbM+wZsWhXZinx0I8g3HyRpP2GR1aA+HYeMFYj3AyS7Vx1g2esLCQy5+RTmEmL4sDVa
zaFa+Hr+uheZGd/1NrNZvquzGN5rWoozelJ2s8ThjD7pSl50KsjjLyxXxeDhOFNOS3gJRIAGNi9c
XkKcH3C7CPQOMrciHjaujUKdp6jLNGzOCwPT8ZtgHWCbFgADgGxATKbfyyZbzbmH+ArXyrkXRbwr
IVmc5lMYErNTcxJYg6oqtYrZakh0lwFsCG20Hp43oe3gA5JGbi+rtoe/52oE3A4GBjFARS1g+fZy
KIMGUGD0BewOUxvNcCtqPUEVoOdl1f1RgSsvdjDNQMDDxB7GYuKtrSDEVtspqrXq9lxBqJo+IDEV
4G8y2zRlefIFTi6CNb7Y9cZCvXs/sw7+LwAnrjDAjmP62WZgts0Cwzo9lnq5pSZuxvCupaMZxUl4
In1SWQcsojBoUgJFZTZ2MGW1IAxeLni2sg9PbtUawKtWFX/CT+Puf9j7tuY4cW7tX6RdEojTLYdu
d9vu+BB7nNxQcTIDSICEQCD49fshznxf4nkrU+/9vpmpmmmbBqSltZ6T5YInwKy33+/UNB7+ZbDA
8fmhAfpI0qbdgCsn3JN9kgKyWMPu1tfM4BPhyvYZdg7siHX1BrJsLGhNebD9YErvVIGvw+/Y3qC3
EmM5UMMh4BIQZckkRt+uw+zUZ1MLYCK47mS476eJLw1A+ErGE0qlH5YrzrxxRaURB0y2+8Ozjb9D
BZ6NJbB40fYVftysLe7y04L2rCTnpRyNaS6JL3aQUlkcd7eRLP1wuueAsdaycKUga30IFx20Yw7o
goU8jQAChZ955TOM5DgME7z8jXDIGw8QcO3HRheU+3IzngGfm789STEpINF+Qxt/Pi9b0JXRPSQY
C3k0aKaBKmx6SMLPqLdYX5DKbHgCgtP9HkrdExR/jJc7StU26FfRWSedgqAmTCAJY6/ctWF7CcNB
ryUkc2qcyF9LA91vWeBE89sgHVvg3ySLWxaZZyCSi5w+0moQVZWVAZQx7mGJ0NsM35K5mQfv01jG
gCaORtoZIgTibaN83rj1uEotTgeHYZ8xhZ4yioLEMotV3onEy2b8RxLNabSAmXL5jzt5e5eDFgCI
MxDR635b38tN2857/UvWaq8m6P73zQsZ6v6J/jt6Xwpv/28BowSfWKt1/2DpA53oCkzuO7fRtKXG
Vq7QLZaXbVqZLqABifZdmXT7//mxZNFTohIlAcgeUADfIfi9nJIqMw7yxShlnqHxna2jalHpQiHB
/syhVkq80zL0+y6vyLbDgSN4IvyLoy2bTsNGsb45Bf9wAW65f3PZgGn8/ONCgUlwpA1YKuTxbWLr
G7FFMhW9tvxevhUs+QY0DjHbwWjSDjsIOZrQcJ53VTeoMq2H0JJHC+EL7nlawOLN58ar9jau5g7X
iOZ2/1r2+4YjSuIcSaEU3ze59naaMe8Xt6/JqNw82aRQU/ZdV9QQeGL1vj0Q4MB70ZNwieH38pER
cV17fhvF/wJ8vRvogeWgPmAFeyhuIfsHrAzdFZpTqb3HWqkQ3zqqKofdAB1oexkI33cQhLr77pqb
Yf/u/zLd/Trb7ZcPd66Gvll63+OsxkKavowRoKq30iiAAeNbYA7ATvr9pd4B6NhNFN5HXAuQFf4Z
7mP9T7zQEsshLtFK/r1GoFWD6nTQJecfYDPYV3cS1vtLtY3AG1bccLyyH8Xx99/lVwghoBTrBw4L
3DzocKxz79fvUs6+B/hWVI8JWLXwcxNATDUcRsiI/GJTaJ3/7Tn/84Kw5wI4CCFKAbiYvMMVJZS5
rO1o+TC4HgdFJXHin6JVosz92Nm/v0H2zqaBOwR2S4OIebHHQEe9u6BrBa8guQ0fflSMpd520H4N
/TUIDo6P8XwQutzMvV38VeSd7fd67kOi+khGyMLIv6By7NeVjmeOUSpOcHhFSQDz0ntabE0oWaLV
Hx7at021oK/DHndWlqjrTTw3eAU1tyt2ZuLjcEBrQer9iwjtD3bL5gGT/SHofBXQ1KG0rBlK/YCP
Y3+U7NKsPubJbHnjs/Rbmf39Y33/GvHiOPVpAMYEsTXxe5YV5+4weY7Ml3qUe2XavjdCegx6e7+S
2HLYPP+fhuPuDWT52W7zn64XwM3z3RAZhuE7cDZy6Ea8mNrLj2PPVfUgUqpQWVVqxqb6r6C1gALy
ZxAZY2PAvA8v0Tucy19KINFzIy5vxxKa5P1tRBIOmqKHiwC3/Psb3H/h/8eWgM8moJ84diD0KByI
5js8c1k315gtkFdRT4wMsqiDNPJzaLBh/m0L/vNSeHUxGDxY5TFkvr+3rvS61VZhdfXWiswB0BGs
I2/o8K/f39UPKcZPNwasEJdKIJChUE/BfPXuxigFLxM1kMObzaP1WHiB29UIFh5Lq/4atx4ceqbG
CtgqJN/lhmkxnYJqYt01Tmvo1qB9lxrIDwSLwB7oXVcGVaWuVvQGAQw2rpHMrVnpgXL6NA7wAVSF
ER7vh6Jr7eZNGVU0hJElNgGgthvfMeWHd8kbnwdd5Uz8D2XfscHdyqqeE0hm7Bw2DJiIgFTjCoNG
1HR5S4TGq/jRoEQEP1an8q2tQIce47AIv5ext1FDLhSle6k7D6Ubo+HeBiwz9GHkSnkx5oTes/gA
WqzQRhd/bPdmjrz1NhrkKHY71THbmlSOU8e2tB9N0jc5xPYtjAB/Qx4Djs06/dHIfO+gwKwteL7b
EO+HeDTMQJYwW8jQKzRk/+Sxk5gq5jMFW9FUWeu6EfMU8PxWtE8+2t7Ev4RQ3HJ9EiElOxgwzgY4
KzT8+xyWLOvoD3ktbQfYFQhMBJYhFfUUw6xArKoW2qWDD/WQd5cMCYxKRTWEPBg+Bmsyb+oj+Iad
0UIPSL3woqYRJMLHRgNtrnKIkCAnONRmYExkHUPT+deK0XOMz0HoFu8zg+R5ii+AzUp93yeJkF4h
+pFQTMIU89KUwSYILr3o1Yp3my/O28yaUgJkYs7QmrEAgnMOj8mNTMZp3FLQ0UuDaTqJDXjRpqbj
kdN2Wl5D2sm1zkuOhhsy7qjvzEsP5IVA6/xGuf2oRQP48Cq8iTvUbXHo6zaELepHnwXge+8T137a
D523pdF+7wb7qJUY2UwCRQzMfIaGHUxfY6UifA1Pws+2SDInH1HEVfwIvwjsSF0TwDlXV9XyGKxN
IPK1Wcpjw2f/qqH+duqMm6+AZKiHyIRe5pKgvkTN1FJgxrP5WGJRX3GIEccUuw++MfhiXiraqNwl
DPrFuPWnI4ZdQEpeH1zHmn5WEtuxX3R4Ey6NziNe13i7lJiDiBwvhGrsh020Ey3QlU9FvFI44OQY
dl9rbR89xvW14aS67uYRovkREDS0L9XVrGyS18kS30e6HsDr6+ZbMw5l3tZwaay87/OgTAaInD24
XMoeLHCvA45fHa99xkUfHRb8ylOMeezVOGWP0D2U34ZEtkfpWAtXUyKCQy2oetQc2HzaAqIZ4Y1S
1dPitvhLS/oAo7ztPi6x1xTUm+iZ0wT6eEWIf8MB0x3MNCItBKr7e4CHDfRKk598Y6B6MM8wzR5m
T9TNQa89KdjYTQ/jzAE4oBTk4+rsGe6HVaZBt8RZGSVlHb80s5esJygQ7NfR44IVyuoJY07T1Ws6
I4bhz3iCcSInJTHnLoEcIedsEvdu9iXmpE5dB+PEhgzuC/WFilHfuIjT6zFk+wqFwRQcajUvZ4d2
9pZGcj4B/SbnRvq1l8eoft/YskCcum0xqzE2a/Jp0cPy50CIy7yGbV/GUSgPigIN+eC2jVi5davh
vWDK2Fxvi3Tn0FZDlVKmm8vKIhRijFTZvPitf4Yht9Vn4wZz8LSF063tXAqk9xmeka/UluWFM2yf
ebRTDmiRNmnlujnKg1X5BY+m/qJrbj6t2qEngwNwqsbUSmggJAyQFQT+xPr8C5hplfpe2x8VgILU
o91071gv78d6nWQmp6l6Gup1eDFOd146OOuykhktUoHvB8Y1BuaGjefqLeMuXu4SmErhyNtm8UV0
eoOZhXbPyL2ANUPP7D4BiXDSnokza2h55k3Pv4xx6G4E8P4ZtAOHZngqp7S0ZMBEaqubMCaqSVsm
ky+GoKnJY/RnAvbgcbgLl1AeUOjDMEuaLbqamKrvoNOBtmOpzZOnen2crWNHOCLDL8YvnxbMyU/b
0G3xcdAchoahq/5c8UCO9RRZW6ANXB8nkwRlavgAxlZWU0rreT6FidTHAX0oS6toTJ6Sfkpefaf9
j8KU6nXe5u1PiwWez5HybjmEBUeKkyIf3DA9or8kabD08w0xo/y8UdUf/ZaVUGYBTr7UK+U4y3Yv
LxVNDDwokOFVBGIm02MvjhIe1Cdou3x8/9k7M9r7BxH64yfgcsNd0tfmiq1t8th1ZruuRjEULkLJ
xRjcwZDI6XQ2li93/ViajyaO+VdfzigO3rDOF7522DzAtD4wf7LXzkTLqVmcr4DbxP2xDDv4fIcQ
CkvAHslpI6a8Kcva3G9eXD/FgE4+DVs8fcSBD4MaMdHtxsgEDVPYHNqkDG7AcDM/m7qkzeNt7X2s
d9MftoqoOwkI/q5ySg8ZlCH0YBYxfNKT5RWG6227MQm31xAqSaADnfpY+VvSoWZ3rvAjWGwYOL9s
1hv/EM+VD2TekG+k9KBBu1kDvjVJtnYOvW4eWUDa8Y0M/DmaCoq4znZK20SXNwvR1R1QlvZC+No/
t5P5gp+pAPQ27Hns0MEIG4kLjCOQXwaaNedEae+zJaVdMli46C2kPvap8eZ5ONZe6/MsqRkcrqUy
8SGhXZ+cuzrWOXhcvqUz+O48TrYuSsU2JXPa+WV/UQR8//VKhgjPOqTLZG6GZAbRw5xhy6nnQ/cB
RiNyH/VJo7PQmVoVdaLNg6iauStA+a71dddI1eTE9AFEiGXJyDGCc297WOPe2Pq4tx40TwaHlAyJ
p6aWSp4lZnLTZixC55IFnS3nW6AlYsx8y6qPSwQTeaZoG95ArlcyuE/RIl5PGMSn56DB9GdQR4ye
ghCNU9VDVnQ1T2F0DjxHe/Fx89fSm2HfH2hizx6KHT3FHIzAcWjX3uT1PAb2MSGVFFDgVC3Mb4aU
VSszwhP32PhQzaReDduzWhnZjgsGTZFROG/pzZII12eeAY5/u7vKlhwCuS1XQLbOcJU1GWJf5Hki
qxvFh3YlYbL5ePw9dXDnUa+Tu0pLw8L6YZq4iKd8DUUIZ3RvR4X9EIPezOCx9bqCM9vWN7IGO5t2
PWDebJvc0Kd+t4L4iayQV33DA1VUIApvZQOYNBeucVd+xVmchzGtI0BiwrCTrIwGHWkDWKm8Bex3
OHnwiweJi7JOlHyEL1P6gOKA2T0zTcy3OUFr4sMw4R2VgvGsqObas16GFq4mKgM3DynakkZ1+LAS
riI0ZjZemzZDJZ3wAUVJ45qvKEJDHBYIIYCzqxqYSwrZRSyqC+05FQS3DLYN+wQytyuvxBDzL9U8
f962unqqajjWEh2IFGNC97hA21GUcQk7MA4PiiIRGtBf0QYLttdejN/Yw1ybJNOD3nQKDw4sW10X
dI+mb8PcGJhOLPyIqK/z1H2dqnI7RKoFjVe58hYMY0wz5sZlyDccNvwuGWv/MYKAyOTNDKwH6wEL
JoUebvnGlJb3eujHuBijqLoZFWy3dhinqoDPdy5PQI2rKCWdS2AkFUPu9QPc40MZPPaSsgImPnUt
y4DcetLxa0+DtIRJEOR1grEo97xy/tLbyB4353ltSiMcwjksZ8NYaBaqC/SDy3TSZinTZFyoywaJ
SAkejrNOEyRSQEMKQaQ9jSFurlgBcj9uJYLsSvDew1GAX8sNNuWSbqs0F5zyOPybUCISQaC/wFco
H3DqNAeLTI/M9rp+Fk3FPgN5cweIdpKjokl3iHQk7uCANfBhh/UL7bunVkAJVmFwO0ReKT6pxZtU
GvhKffJpac7W80uXlsaJOGsAjp5L7eGmKwqEu3FzhmHX/yAwliAwgTVfZe1Hn2VZsRfJ/OVmBnOb
B3pQJx+Q8TPAd0/uNc3p1Bd0uA3L0kffiuK4L0L+lct9GF77bj+1nTe+KtgRm6INGxChAJNVeOqD
vlHZCFPuBK5pUwALo0WwzG9RR9KQNCK4bfXovdZ1PcnUa/EdUtFGdZxJ/N4M8BfWRL3q4NSF1ovy
qYaQE1ZaHN/nDjbcPzSmtjqT2vfpZxy8i0kTEi/zFZlkmE9akKtmCLynXTcAU/gsbdqsRH8IAide
7RxrHA+YPA/KllBDqTLwb0DdmWu9QlSSmgotzY0brX6V3uSabATMOKfN3Lqv07Rir2BTYk6zGijm
txms1ZyCkZuLXsz+GSA1/LxLA6Py1S4b/ZNDQloeuqiervmK+S0laEemvC0HEhRk6KD5pdscPE9j
236K9OwyOfow2FIywNe5ROwR7FqcQBWEHi4Np6Vujwuaqt3J3i+FG+oavl2XoPWEioOoi18vjGQW
Lm6kEXQ00IXRMxwGUKRgEWW87mrBJSyNcwgqpZOZkGjSTLGPsXNWrkPjoaf2+3J76Ufbyw+eYgsi
FOaxhGsTi1dtOjPMVu16JNQTPf8QWr+MU8mGxv/SQjZK+mwmsRPlAYSZdPRW1ipUSYZp23Gd2q3u
RptFOHCRyFGDv4rb1ELNzde8n9eyk9drXHo+zUaLAUzftTPQIT91kHkn9mCsHpqXCp5RVeULtgpo
FLhx/N6ksxvgSDtU6NX6k60t6f4ah9HNQVFD/9T1RTCAa3ssqQfu5aghlJr6HFkMhIo7YZFDEDxz
ArmUFVAygwOYIXPH7f/ZkSSieI6j6Nc80bULXgKwTPXjG1hL9E44TG2yQ6MeK52+hvlvp+6hF9h5
EOzDLfoGqzB14RG66g37bWBj0nyySEQg8KjGALoIJttSLCGOCJRjpELUABTimwkNpbtQkdCVZ7Ya
4VU/bmC38LZw5AklXv3Y9nOXB+1k1/7at7i9LUXUOBz0GUQvflc++lOAjIQihFC18c/U2mFV0CE1
E3oczA7VcNA6FqjHZFK5hArp1oOYC627TlAxV4Q+jFPMj80UdSviJmo+A0ltMkiqbLvwouodb9pC
L1DcJMAOehXfbGj94qIkbViCBZvhNbcp40PCi2jdfH4E79c969i2TwTqmin1FMxnKbfYOwXUJt03
ityCDSwNrY0sVDgmdT4b6FRcunkDyMcttOt3lf05aar5LoA69go4cHOjkGGQSS+0t4Kta1dov4NY
a05ABGvSPorELdEJCSFblPq9Xnnq+kX2RzNRqBhdjAwAmHNm+U1vtJQorbwr0xDnqM0nf1sfxoYs
Dg0CaQt0oJgQS6GD4GhCPnV52cXulWylW3W6Z/cw2MYbGeRI1e+/GgoCOx3FjNGg38iMacQIVhdo
JwwCAOpAzt8qAks9ydBRe322ybo6wKc1IzWisyyGOMcbYDUvKVeq4Csdr9iook+wwXM2ZlHpVSoD
oNgEmFCjdbx0cUht7tHATi+QPkA2AQ0rVHYZNB3DjAaJedAVAdy6VJi8u5QP6MNvHQg3ly6+jIpI
hu2ZwGwPKbsNYK6Atk53kG54K3IA4j5IQEnBeHqEbwEvJnIVSX1o664G3Q4iswDMXjcIFrA2yuTe
Eqpwn5s+hEy7uxUvO99NrEkhoK34k0C8BPBQ6OqGoAyPnzFcLvV9JDqzd12+11yhgwnPBslTzStK
pL8e/ZmLB7X45S1kktW3yjA8+XjZHORqezyC3LbGISCELk+xC+zdYhDmdNGwsYEdjjqFahp1MCvI
IHlggA+jPBFqOTGAFk2+QBvzx+Jz+AgDOfKrniN5Y1hM8DiUlTpMXk9fQjMyRDNAh1ibdoNCf9xW
ZEcF6wWeSq/JPTvOMHW1PQTySYPkgFMVIqcGUvENctCqXBy+btLu0ghMw0gViFbvAIYIPCv1YSzM
q9mfUXoJ/A5NOukI8kK/GmHmrfp1vPWttjeVx+Y4p0GlowOEEPrj4qIJquOpx11CDRB95qaOEYeB
BvzDQPaOd4x53KfoqdcmDWWZQI4ih6bOcaALKK8Al9xtHRAA5AJpHRZyhsAu92nXFNvg8DNVADkd
ZCOdzmdf/7WMdV945eiyZQrWTxGqxXztpt7ovB3m+GEMzGRxuQBJEQSanrPfeerWb0vvOq5bGUEm
VCJlCN7+5BopCN7r2jby7Ige76DVExk0YN4XuGJsD54hStasCUbkNEULb9bcLqsYU0SKwNeP2Km4
Rf01fnstmLcGhylcgmdS1tpdgFxJH2CA6ta01R37hPioak07CDEuCgoTWkQLLNDZlnhwNQwlDbqi
Y6L+KANnFiT+4Hye0Z/ntW8GpHSBmfqw+AtgaN9T5SVuO/9lgMoC6SK2/eSPnXoxk1IpcvOBPUJR
CaFUNWPJt+ZTRRYElMjRkYyg87g1FvaeEbjL576y5GSQvtDmppHRh8lO6jwhyifDRC5vgAtEV6Sk
8TMQ4ybCMqjCV+1tfuE4HR9ms3onOarJy8QcL3u3RjtIZ3pAPNE4xlcj8pfCfEsIGqeuSdyxD7y5
fYBbtskNwK3cYKnzbPADW6B9Ydf9qmpoAxf2Upere0nKiaV6tBTWyUAWXdyWf0FWTHMe8OkpRrt/
ZLxkrwoK9BeKHwmQUYIHB8n/Czw38a0DyX/U84RdF9svEChPd9rStUzjSVGGfbDdJRWR6GgY7444
DxAXYuPRz+MI4hT89M0yeOYPAbAjjx0GlQFhdVvqaqaeSdzyR1EjJi7jQPVPWvcMVBiUltL3v64W
6L8pJMIoBvOKA0p2cw4OHC6mF0y0qtMPho+KBx8mUQ+o8mMc79okM8D/DJGAW0U3gGsA4ag+8BVS
mvW4ePBqeLmvqJvqE7V1J7YThNzr9FQ2bgm+Bj1X8kqouJt4VnJDJ5LHM9KuDIqXhJoFnBb0ESJh
TUhzCO/YhrYxpmuTGRka6k52dUAxkVvmggPn/RJ/Dvt+QlEZtGxdizoW1DTI0edBp5CTNawqCFo4
NFaQI6ONh6pqhRcamwYydh5AClpr9ScdyIpwLBCaEOoVo15WWYOxbCoJtZCuyl1EjjU4gAapBILv
hvvZjyeMMI3vQmOeVbyUs8hBxMaY+2AZapy4CKFGq/JxQWo+K6j27Ti8WrnNbE3xW3SzZoviaMnS
TdeoDFcl/MwiyYBY73fCw4om7bGu3BwNf1hSbV6QNkg5wP+DFj4K3TWZRgzM12IdEfeXOZrE0Xz4
F3ruV4MIyD8YqBHLgB4TrDSiIt6R4z3FzCGcTr5SARfJD9bbC2UA+sn4XQW15xLPfZfRjhsvShFk
BpFm2oJHGbPJ7130JL4TXb//Xr+yvfhayFkIYVdFrAXIQ3BFv6oSmmCFNalqom9S6d3b1L0JPzqZ
tFiIRIEu+xei8ldOfr8ibNx4Grt3GJTvHjHwsyYDoGE8Ufgl/uzerji/qWr8oDeg5seo5kiBmWbq
CCwfjQBZ+fYq/i8D5T/GvP6cygAFwU+r4x9JoX//KYh//MjfGSgs/B845cBKeYh0QG+ExfJ3BorH
/wdaeaSFIXwEWaAhlDh/54SG/wP5CRY/Bho41n+Oc+AMIb8wsEcQxXBYcv+7DBSkM/3K7IPLh0gi
QkQm9XyIPbx30gU52k0uiJO7E1BnoAL4jCKyylQSEuNSc34POagZj6qlvTmUZcKSIF0AqWSynNXi
LoOPHjKN5ICUwqmRk/+ApDjSuj9g/yCSZiFygeAW6OVVtfV0uZvagX7rKFKZALGNPQInDYI0IYG1
TFUQNtaejOejSnhVwJEizp3o2V9+1dfwSez2CAIpGATIcXWOJB8QUVAh/WqK2ocAdfBYbWrLEdJC
P2DSBKUKQbyFDQQzjky3VhvUO5+TJzDOrxCz13kXEJH2fhJdwnpuTs22iRsnEZQWQQf6eRHWKzjV
gExNH9YPJool8kWVW+9mC6Fdrr2lM4WvccdpbLcJoNnQ6jyhdX09lBLTPTjsCZGhr7AhTE/jHNbi
AiSX5GOjow+NoRyOgAZhCFkbrhC3RkBj0jJxgLFHOjUrYLoJwzHexPpSrqpPCbAyC/i3rB5RpUrI
nWGCkdmKr39q4BG83hbnXpCdxIJjyB09Vb0/F0mIPjeDfrZjhwjhDlUaNb7+YzUO9B50lWOG6t2d
ydhTlZIg1jaD1iH+EMslQpvb7ilmYms8kUYOoZO5CMbR5GEbrZ8w7A7hHe4EcBeG4c4hbrJ2eUOt
X4zUAN8lov4LlZkXddXIqxHy8MNSAdANhsbmVtXR/bBx8AN9Lascei91L+EtOq8KgCbtBnYPMHcp
MFqH55IjsSY1Jgi/LVC858gqs/BiMaCi9aq6GqQG/BuwMvZE33Ck8Ky3tLcwxZ4R07nEOksCIJtx
gQfBNep23es7Lodanba+YRydfrMibK+GD9kgsHbkN0spYXyAQQl6HMDMjPsQOG54evd2rPZzms0R
AgH6Zskj4hL93BocmUgGGpHRVichMFlaw+XuO7cf8h5GuDNcaia5CXVVf+sGxM1lgN1khMDStSM3
c9BUIyhUByyUxM0N4hLr67Dsly9eVyNXV46LLVYN7e7JVWsdZCMmVMByUOnXV6toEZmG2IOWQfG6
TixbQApNV9R0EZTtTXPXuJVtWT3MwKuUQbzCUZVxBLelXhs0WEKBg9GI3Z1vMLBZwLuE+5mq8TbR
13QzyygEQFsqSJ9Ud2FPmzEzne2iWweN1aUdg12FG9m8rvxqxYrjZM5EpGMIVKLmQpRq5wOCKzFn
BYyGJu/aeHnx8MfXYERxQwWSe3zY3CS2+8SSr2RLeuwpEiqXxbByBxdEmYzbYUKeAAAmZHm8uFJR
BPGttv4I3thTRwgiDLhXykUFQBL92RUq0foIyMOpE9qICV6UtoXzpaW1t5wiUfonX2nz10L4U2DD
+MbHUANnhfRmfbVItLMng4Y7jzVBfuw40tsNWsB7NIDYj+ibkEYqKlSzwAJYlesggG378VmQeAWI
uxDnbhxb1HXkY9ZEtqaRxzgux6JlFeDsBu9KHSq9iRwePf+e6JXOBx8C+jxMhHetwh7hgbEgSUEa
mPTg9nHsIwi6JoeYwcN7lrwSr2aIQA+jp32CMWj+NFKHYd8ozrHX0OflRGAw6ViIDtdUFc9aGILH
IqzHylzjAxygEAEqkwZeiIC+NER+G4JrRxLA2r5iztc0FSsSbHJnAfp6iJep0iA0lZ8imgCY72B8
VZQTot+mVIH14rcgim2M3L2y/cjWyn+el+0PjiU8QTDtMFXAU+ddhTGiqsKgYXk1lWs+eTXkQEkP
mK/fJq9oCYxoGXh094AMWH5pO8+C4ENcB7tdEIZ6u01bKI7xoDDwTe6lgmQaRrKw2VjOmrKNs3mm
E1j6WTh722HUvGwrG5H3rDC1Kpxf1T1zc2m8VPB23darzo+mKADjANKsPAOdWiDniSX7v37qrQP6
t34KkQG/7afe/23H75Fabz/0o6NCzlUcgGGOEKK+B69HaM9/dFQR/gBbSD0oZqJwl2v/3FEFSJXD
HwqByipiaJ12dywOh++h7BRR7ojTgmMbrg4AOsF/E5D163AQAFHC8BYFPmzIAYLq3ktB2RwOM6WV
OoGRQaci+yr44JtFX2BPjfOfWs3/IDt917t9v1acQCIdxQksv+8HkXmkwLBj1p8igB+XbV7ZRVg/
eV7xBG6GYUuK319vH2x+Ekvu14On2kOwCoRu/0zMMchuRimnuF4HFihdKEJ6UuE2dpkc908ISwn9
ArAjg8228T7+/uK/zkDfH2xAIQdF3h7CXf5hqR8IHZ2CLei0mWn61rUd1AMt8LYbHGjuwZVb8lx6
9N9u+T884gBPC0p4RGnBrohl8/PkNY2TMAji606mY+5OtvX0DQNns6VJY9xdRdf/+oIhwyLF5bB6
KTLe9i/0k/xe7FpAD2LKq5qUODNiHJ1rPSXAd3zyGe6+8NPvH+t7vTf+CBj+4lEYA8qEaDrx4nez
5ToyulXlrsxTDk28/V/2zmw5biPruk+EDkyJ4baAmjkWKUrUDYISRczzlMDT/wuU3S2W+Im/+7od
0XY7LBJVQCKHc/Ze2wpa/Xqea3WgIApdw6M8rFFTK8xFCK+d6kEUDwXW4dGLrBSMK9Id+9RNut7T
fxbMz1UVtRf0w+WXSXc+GAW4W84HoS20JRaIIQi46hWb9+sNKnJYLUne9Tthowa4V3JdBMc2zFQM
iXAMfRS22nhAtTRli+ZEaPe8g9NJodi3Q+JrWYe4hdyR09mEG4pnZRVZGWMJXhDAD6RnV8gsWfyQ
AWe4eppBu8p1OsB0ogXLSq+3YYJCI0YBOemzs6mE1K6oCCoNFHO1PIKwkyets+RNELvIFudmKMU3
h+rshH91lsMah4WeHBtDyBuLWcLyEdWn7i5RB+VzkkUu7oOlK8OuI4GRwSlpUsJypaM91n4wShfM
txbHibzsTHcwb2UxjRcAtTMEGoKiMUhJk/VsmQiaKec9lUMrb5SxkzduWqMTk0FdPfaJXj3OjWrs
LTyBtSeHoXoEvjvcqG3LhtWt5+WgRcNrnWiNeEIBJE9lk2k6sQpB9WhEnTwptaLdi653/HiOxRP0
Ir3YF5MrHy0Kn70HzRU1ZxsIeerNhm9asQ1fQbTggsiFgwedtmfj984onrKe++jMA/etMbX73uWh
zU7tPsDGFE+WYskTO2N3jaxKGJupjDvHc6USVasWp+fp51iNkhBEZmTEY38Zp7J9zpJSgR0v+LL6
BN9k247giKjgUmU7uHYQ53ucZnXeUdZznR7msR59jugnPzgV86nfYSqX63wyGSdDYZlPZetUj1FI
2ySsc/fCBbD/UGU0kFdmETMyMAkpnokA69hQS8W/XJXypu+navQHazm78nZXjxKGfe6FZTrjOISa
xXYo0gyapQkiSfSsfNeR8vTKCctm93r/TdkJJEQOx6jUpjviKFHr1bCprl7/DF2WwssnNWHemKOd
wne9jexu8MfQdTcIOBjA0fJ6WNjCqx1CyiA40l1RK2/gROGntXTck4HzoIGmQw2KLkHmqMlVh06t
EmCZsaHeAX1XqcgHpQyGDYqIaRUYCj9QZLGm7ketsweJ7VgpokNLNUDZTircGb8GrhScqAGLjKwM
gVKyiEC8XOj4zx5xcI7PA0qtwRuTdo5vxknRx88ttz/atkUxbFsd9M1qVlPOphQVvFLFDQaLQ3Cf
2/vKCCJcuBPn5sKdgKZkHhgguccYbG7ophpXAmE5G8FxF8DIP3ZhKe8t3NNeVAU0XXDlX5loAz3K
aNqXVtVrvwKgseqISLlWrKg7jVHdhqsO8vrXDrOnyfhqR5iUbiyPA1L7nemUIdEMql6iaCnnK6fp
w2cKttqVRWfgUMSRdVWphRvQdDenC60Ycx64VGjnzcjNtkU1d89uTKnbR3wUxj6D2z2AtJYc/aFG
uivNtoMHo4At4WscUyDVcXJo6qdCQ0mXkKlh7mq8rwN/0GDQ0blmSE2paJ8jjX9ZMS/LE8scY1kP
iijeWUrAKj038XZqu+pRaJ37AKWdlrsdOjlRMcMgOYhFwQNQfu2qMrXqcWqX+i88mydZOuFDIiwm
zFJP7xM695+TBrwN1kgBFUmlWB1jJtk7FbUQwJMBDf7RKe8tOjlznBQ+Tj0z3GhG7oiDoGDrfp7b
SvuaN4pCKAz1TGdv0GExRk+rWrkxaM2mB0s3jG9zOAhrjaLh8B+1YdMm0R5r9z31k/q/URwCFLHv
sKSkNpKocS+MXhl8g77xG+lhoRfXEklRv8FXCdLsrQbRnHTCCZTMFH9pEAtbMb8h1OTPV6xYzSfA
E3rwzXVGcPs1jrpyMztlnK1AY/cmrchUucizuOfW5eRuzPhMvky2U+5is3Cu7chQ/YS3aou6u6Hk
Q5vvEX4Ke5GqE5xax1jxUm3gscKtaNZxRvtojdIvbK4ap532k5E4BKlMLAsot2hQwPl/VrPEvRAB
pJJVas0MmrpnpLSh6vgYHJeh1FN788Oo1K5AwTGX1haO3VXi8nsGRIFbq4vci3bk0XgZ/CW6m33C
Z7IdvP1xtZzCo7RgCEojpOiRVZhVQj1lvkentZuigXlwEGHbbhGeOxdoVoELYtbIVgmLCYUT25E3
9Hl4l8RYZ1ubzIIdaUvx1ghm82meEib81ynQjnoENPhjl6E/qll0AwCW5mpfjdRx+l7dQi+Yh1XT
Ke1zQcYM0gCjYeXX51o82RnrY0tdfaQoGGeND9+DWJgMxTs7hokjyvbnx9LgU2bbOkrYSQSKwvJl
I/E/1lnT7IaplzfdwN43p5m81uasmA76qFsFZ9ApN+UlkALd8NTGLR9Hva6ia11w/FzHlJBybxxm
Llk08WSfTDr3LauFheWfMJsorAkWGh11AKkRStM69CmiZA+J1XQXKKV4tCKNiXVqlORirBqJM+dd
1ak5A4dlXkTSlJWKeqj6SHkBT+Wi9R2JkOEzs8uJFdt90OXIsABjzUpeu512T7eV5SlsZJFuGmSV
M58kXu4onT88DGJiWe8rR7BgNkxVd8HyRJMEUfzc54y4DB3oFegOTg3g7VW0s6KtFt2aIwL1QVMm
WpfcJ7aWd7SxlP5usLCKV148RmHknLIUrghLVYXuFHFBWE/xZkpjJdRQWbJbDrewDgXmB7YbmQrr
KUbtnXpBlsc+BmQEYRaaT1RE7EFsPVIPKe34K1QpgweHBNooqnxfgvY6ZMlcXfL46xNBPNE+HSLl
i1Tc+KAgrsQgQNnNBIy2C3VLoxhrK5usHwXfo7b8QkU8odouQrM28HCt3YYOU7rRhP1GU0ON5q5G
h13Kel+C+YDTlmmnAiNOuWIbQg7H0MRAPtiRdFaevoDTEBtnKIOdO5c5yoN6QEZZtiOVo+IFwP6L
kk3XrjTHPeOajQEK0mu3q9RrkZNVMKi5Z7VTvpO9wHKGLO5OItjZJCyiflJHaNfw9ZpqZ15KvS9u
edqsy4XMDqx8+dbMUwVhCQFITm4RIZJd9imSWoNbda1OVfipUqz+sSl146ocqKp4RqiygZT1NnMz
mAoDsgHtxM4PVQKN9hdhBeJgIBaJY1QQbkLFrEA8EDg7ClQ/RG3xQEz6jXBoBX4D7K5qhrd9UobK
U1iBCS7rh2UGiVRmCNYrZsMuKY99rSt7pMx1ddmmGYM0j5htqOIyIuch4NkTXhC1NxORQbE3sO3+
4Ci+nJLeHI0dzlH20krR4cXAIXl7bJsx27iseNWuEq+b/oFm9KpZNr5/Pq79dvqhXbQgYTXKozi1
z/3C+HS6Pim7apcVaDhXvW1r9zU5JvRspVYerUVYeHidDv983d+O/lwXJ4jA3EpvmpPi2+/HkTwz
iOSpdjLJrKdOgZ2WtzKTmxGOcLMu82I6WVbEXFwPyy73z1d/60nn7M9fLhxtbNkWH+K8ETy1CdUT
5ME7wFQcQBDJ6/cwgcsjsVLM9l1Y8Xe1ajiWLDtviJFM7q8f4X8d0A8qdnS6l5LAv93Qv3VAP8ft
d8IJ4+JXCv5fP/VXyY5ca0fFTq/RZlxqVf/h2YNr+hcDmrOVi5bCBGBHvePvJqj9L9zxPCvqL4sV
2OBj/F2yI7ycQh00BIsqANFi5j8p2b2t8dDHB22xgPPo6oNsfE29+LWigC8fXbaIrKO7nLZeCz1C
K5rdPE0scV3Tig/s2+9d0GaOoGgnVAQYZy9Tyreu9CqHmyxw0mjDCHXTZedgsYDsQioyHyAd3tYk
f35BWsXcL+qcMDfPJic3seBagXY92mVkPSUuFzCSRLtvxRBvf3n275Qk384Tr5fiUfOsqVzRuj5X
KjQRS3WfauYR77F4iu2k2YkO1j3nrJAy4UyVzk4T7er/Y2p851sykgSjwVHBH55PEmOdQqMmIe7Y
6om5J+uOmQKqGhUh+HsfcqbfalNevygjUHPpGGkOqQhnzxDLT5vbMjaPiO25kF0txyx00FRhhs5m
11sYSRUdcilbLL0NvpwvFEPY3smMfbqqF+4/YhAsH4ipcSk4O5oNq/s8mAEBKzrLMDCPPyshbl7H
W6Te/O2/u5YGkNzQGMIMnLMBFSYG2+tpMmmHcTjsTTbUdpdT5FmKSn8eUMt9/M/C+vNrUew1hQCT
4ajirAAbdxW7h7I3j0MQvbQ6BaBez5UP1pffh46lMgmRkcE/maXOHqY6JNg79cw8zij2jomDMGvl
kEzpaXPKKvvnb3TG/Pj5laiUa2ixYKz8VrYnq1AD26sZx0SPCTYzBq6pBcpSzwbQ+OhQaHwywVEB
YHLlieqvscd5Y+w/+Bi/j2AL4IiK6phXlar+8ir/UmkOoNcGgZWaR+l0+sGgzw3JI3Cdi0ppGaG4
EkADpTpHgAl+G6Ww5eUVC6GXGaTZ/fnTvPcETJMYAnd50uw03n6YNKOumacVL+9SzEMPNq7Goi+P
ZkXkwD+/FLsYmki0EcAPn40oWTlN2cCxOcaYxE5wD3llEaww1TsWT+LPF3s71TN9myZVanspuXK5
34ZvFXVlxlFfOQTU5vDuYu17JIaV0uvIuXZAOux8MJa1t1PwckkQ0aiGrAUav6h73t7KKqU4gVPP
PeBLirfIi9kctk0rTxa96FPcBjxXA7z1TeQk+v1rTTWXHb0GpeDwi/Sh3s01y9/rDELBq2LTjZZ9
XgWUFjkaauVHN4k4qDdvuWDht5fGm1h6Hob12/a5wKZiytwwD22mEoO5REiWS5hkqLX4hmDeTdhS
syxpoDiUSTVZa41fdtuw8SX8L8HItArygAcJfaN7njnTPUMpYOi60byc8IH+R/6i8h/QHYxsFjXi
EJ9qWMSnDH3TTk34MSAHBj0Ofs5vE93YjzrW2Q7v8dEJTePQJNxAimrJdBPGGeV+1F7uQzdHSuJR
tK81TACCX00dsaGI4NId8YiAwrkV9rGB3qCouQbi2iNRutMN7kFVXZkDBWdIShVIuKhkhPystJV2
N28VelrWYaT4ccR/l1OSaDQqq69NqBQKFkalQq8OxN5MJ4Ax1Pj1TiG6ls1w/FXDLUIVZjasdImS
GoOHOisZe5izngh7ZbSbiCqfJs1tn1vc8qzQwyCeANjp36s5QFpZ2/WpsTgEihF+Jw53LFbMv2hG
R2Q0uadNmnavGDUvqcQJzFFbQeZickcDKvuTqcfbAOTfM6UAx8dHod13cLwofI6BfWrbcH7QBwqU
lbvU1nOLkjve3PY5RddJRCz82vXcYs/0nKXE3lcTfwpxOrmuIJupMiWTdj933DezVzGWvq5ysJFo
yLTAnTFdwSFcePwd50TbZmSDqcSdzkFltg/RsjFRgET8rOKjL5UnqOeWXGP5ok8hiky7go7MqEnh
DD3ZFuDm1ZQkVecN5UJ5GNSAwlC1zJcKih8aC+ZAeUrHjVd7oC1TPMRLockqI96/Ug0nBG1LdylS
8qW6JHL6F0HpUPO1J5P1pkuRxawwAjKWiSB0H1o14Nc6S3dFKgZFMA2P3wqI9xLWgtFEX3VIxg2P
0O35crazOUSen4unoaScZUW9q69aWMuZDwO8ucPore/meQxtXw8t82sxDMW9M8fTJfLfzK9prmrI
ejLN2WgxOalxhmwZdxmXaTOJn6CYy95X28C6z8CYgwklkyxdoZWYrkhbV4+5SQ4ELgfXXUwBhieF
YnpTMU/3KQkSa4ReVXVIkVOzM7JSlFNqW9x2VUuFjiy0/EeJNeHFMedyL3S7v0IP3BfehH0NKEfK
zOTNGRMXPWfKI/glqi9WljbtphWT9V3OtuZTcSou0F014WYBDI0rt69iX0vgAgD0KK+wB2ojHIU2
+hoCyVzZHKMvEc5Z27qYaIZMnV1v0c1bj9Qou81EVf6rBVrvgIodd4IczflrkdXpWgh99loNN6Tv
BGLwiHMuviaw+TqMc1Hrp5jhtstmFKOeJDnJb5pcWdfsAfEjQAwhiK1bJiaiRfBInSjkKXtcHxBt
mqjdTKKffmBrGdeREiu3k1vmX+J0QLIzFd0KpRkOT3oLSC6bJ7tDnUUFWPGhJkVePzTaBm8mv8hR
rkzyzZn+jQDnQ9oYZFAvh/iy89LapZKxamizY8nlyVfjBTtdZ6cb2iT8ggo4YQcBFyL2OPDNPoz2
DuBYj7h1gjFBJq71vOw/VamFUwbg7qYXKdiFSP2e2aSHuhnN0djV5KZVAgOeKZ8Dt0J+y6pErt3M
9H5hmTWpDJAs1qMd6slFiernRu16bIZEXxqegvi1e5rwOFwpesIrQRg8dcWyIhf8aIG6BLVgSKo7
zLYddqOlQVvOrnY/qTNDVsVnRmoBluW100uhwjiMJD4bWGYU5+2ATgVw0PIx0Ex5A11I8V7ryl3r
sh47vaAxlEGPPP5seKpwONttGndMQa+l6NemniI5R9FIYwtnDbN2P1TmYnCPRL0zpZnIndDS6rGi
OchHsweK5mlWZI96WYfs56i2Un4m4ZR3Pmqr/CtcWKd6marBpKFpY6HJ7K7FzmqOPygm1yHWJ0V8
RlHo7pvIbXcACtDLFri2e3QQSfQNf9NTgh12Lcx4AWVOTB9fMuLKlbt4rkpjB3LfuRoaCmAWrp51
NI71LlGseQPOoPo0uyEIBSTo46dBNPnJCqsXPZu/SHrx12mndzvmVZvsCLfBkNJX+nNIG+p5juPx
LsTRXd3wxifrms6TC+fFHkEzRHFKUiGi/AMarxaQD4EFuGtoPk1eioBy3KH6U49mXU6XeMyNkzXL
GIFnnvbayuIpIMSinvCgFIMs1lLrskvZNOb1TIDQda2Z/SmPHSDZpdZ+h/idrcuO5J/StQaICtWs
r0Sgx7T2HQMlTkQ86tjPUHrzOmO6AKThJ7ljHqZx+BZUyng3dmF6q9EpuCQkVHxNQaEA26QjvzB9
UIHWkxFeueYUXzZSGAfFHVEGR0PYPunxWB1BormE+4r+SIlQIaW+a4n41pjyNgqbWbRzGv53+NaB
LTcAco17K60qiNXGfFfFUXChTv1820VocN0hHB/7rKv7Ne14Mz4AP5CCxGxVoSIfAGm8sqQ6Vls3
6tsdp1zlIoEs8QketQ4AFfpVscJdq4KWZfBcjazwLxom+8u+qoatZCE8FkmbZ37lRkG7KjWOFxGT
2zbFMkTXgZ0F5sfBHm5DHXjOqkgCmgstU95jKslbgU0rLmSsM40aaGA6r0biPfp63vQBeGVoLR32
Uiwubq05ayezTSZEbfxR6lYfbFylnpE8hubeNIFhGZk179rejk8tnLNPvTa1D042mesB/q83J0sv
A2HQykRWra3knNiggUebnG94bM/wdViHOsLJvEAZ4szHb8/OeuacUmSzjfu3DOJrXbXlJ7UZlUuB
2zZcxUZtbBzFaGzQTYXYkKwiMNfrsdtue8buCxJV+blyjO47NUf7ebRQFW5ULMat12ZggT0ydnCR
ErFUvqBCrDFtRfPU7+yuesHkE960SY5XaY7b7mCMEvl6WRaAyWRMhLRpN81iPWyulWxM1voSMOXD
mncP4TxJCR2ntFHI9mZHri6eLFL67OFLZE00su1wTq5VO7BVbMFFdl24GeSVAlH5baQYPLWfOev5
z9R1SSucDPbXQ83/aqEf1EIxIhkcXP/vWujVj+HpmWLgL26Qnz/ybzeI+S+V+rmBh/ptsKei6Rx5
/658kpur2gBPLZ3cN42199+VTwMdI1V4jgbURHXOsNY/qXxq+tvQEKGy5C6XQc2Hcki3zw+LUYc4
GHeocWkHrf0wjaagT6wpzUrMWAmnKK9piVXlwcKorDFP1MMauVi7Hi0nI+O8rWkeq73+RURzegW3
gjDvGh6Y6elVLYXfN+b0QLtn+NKlHGC6cJpXEeQV6bkDgCE61wlx5KRNDlvco9qpN9rysRiC4Xpu
XHZ+jlKMPebhxp6pTTTjJs5NIJRNkkO7SnFC2NXUbS2Xj0jGUyLJ7ghLM8F8x4YZZ6BtbSK8nOGO
Otbc+4sN71vSZy2+0ylNn2tbqa+Z6od8NY65vA4CUI9gUwK+O2ph+GhMPqm9L6fGnDez1oOhhxnF
fzVaUemH3gk5yLHiT/sQYht4Vg6qysHhA3IqCmYlX5V1TgtQd6ry1qUZfpqTdLiuMzY/CS1nHwSj
w1rdlsM2GUkHBelU1F5ilpArQHfIm8Zh9+tDGJbsVkmC/9RVVWfPlT8GatnVu0ATKAagZoaGvXXg
5Ycbu4nVWSWQPW8KGCQcrq8Me84LzetIn9hDSS57vAxhHVlegs+tKFLyHl9NO2Tlma1xGlKm1ObV
2eOIOBjkVVoPOMRhVsYNYRFl2OT0kCu8zGALDIvNiRIlwXWgTQryfpbj0YMFZ+iLnoDNzAVK1QEV
QY06t9ypFA2Dow5aPvBrsx2WgWPPu1kmUO2U1wS2lPNgNhy6ru8r9Uqb8qQzIBm1LSryfJWOOiva
lzCIdH1+lPFCPnruxrrL85XAaZ4Ft/+b8H4JM356zuPCZyVq4u/dr7MXoVwLc/n/nvA2WQlc582M
99fP/N36UZnwKDHSraS5Iqi4/Vut7dj/okJioTvVaLG86q7/ngANMsCp4dPj4QOQ1/NL60fHNKdD
oaXIT96Rbrn/SK19ViujkUlmskEbRjD90VU9qwWGo1RnXs1+p4PS6rwspejpUZFxL8yeyAWOt01x
kVpklfhu9GHT+G3RU2C5w9y61CBRcAsm4bMKLJCaGeao7LZjrw/wOGixa7Ge+RNE139UX/3rUu6i
f7dNOIfnnNvG4PCr5aLbmhpFQXwj5G+0UYWzRKv9X0bAOy2g974Vt9I1UNrz0M9b1LOGBHIyzQ5q
q4y30phrH8V2CtPD/iiW9Kwv/HoDEdqrNMIZFMTJvS11yoGMq0xwA90YK9ww6beQUKwXOVh+WASJ
Z5fGUtNGBFKB6vig0Pq2M/HzlhoCsf8yirE9ntVZO8RxgVF1HY5f01oRXxCtC8gq/6its1xF6IxL
ouqxNVC2OLtKGzpGO9RBvwXcZ4G41xEBwnyq7WGdVPmHfa0zfcHr5ehIYAbFYgHU9qwTIujeUyno
+m044dSJ0uYHVPYX6gT5CjA6RjSC7f88XH6/jYJgRPpoSy4ynq+zyn8QpcnIJrrfJjQqPAJGMh6W
W35Q9D8rML9+Lx3TAjZ02q6Awd+OFLMPQHDWab814oGIRkW5IMjrmuoWHFoVveOfv9N7d/HXq509
NFwUYU2IWL91hlFDLgunY0DQUyVLFLnrdqsmTb/9+ZJnaYo/BwrNdSLg2FoyIM+msilKMVONvHZa
ZKHoKc3sIQRquocU5aDtD1O/r0/2MDlezRr/bHWqc6BasOvDpoTo6Q4A3vRx1Yx29V1KQ9lP2AVW
etDVdwujGDIY9cW0nj+YmF6b3f9p8L1+bhztNv03tAH6byPOaUMEhVAUtmi2TUpOyogXksPusIZ0
u6RrQJStCInxDe7eWs+k+VUFcHMDh6e6okyOELcK3Wt88+EHL7h4Z2hiCdIIG6VNxP/OXobEJWZ2
hue0BSmBbjYSftzAoKkdq8PoG7afCP8BnjhaFFnLbC4OEMCbCxosQ+rTUqHctzgCzRY0GPSPlaFV
gR8UmJ0LPZyOYa83V7o1K3sc2NThwNP4ICRI0OuWgjdyzocOPJ/nGjElDlOxN+QtxoB4G4dqqjx0
lD9X4I96rwuESwghyadm+qkfnfYqNSdK4MaMTs/oAego3XXpsseqYzbSk0l9XCKKulCBWn1WmprN
Z0H1nmyVl3QyTh18CSpBYbrDK9xd85uLzZ9H6+8vCP4sNga89azBv9lqYIiJXozLQ2+jK8oVEflg
6l6L5T2+6mrd99Cm/4srLo0mfFkAf9yz18OFPQ1QL+22TRCAFTIX++V3tzAvGqNAe+taX/58vd9X
QUfYzDYAqRdjzXK6+7W72obuQOOt77bYJquVPqDPo6ZrrB29mfw/X+r3YeoIB16ACi9gaZ+dDdOw
F0MyDiWroDOIY6nU2r4ce/uDG/juVVBgsU0xcLedO6EIxVDyjiCerWI1Kvpl21V2hHo5N3/+Mhob
wl8a/st8wLdB44YjCVrmb+1Z9JyzZlWUYSSCNp+jRLKhNRz6VkuIoskplS0FA5/zc3honM+NHm5L
M40/mpbODsavH4MtDJ5B8kc07VziUNcltNvBBrcuM3uNpDrbBGPSbcyxg1lgmLO51wqYn41a/sjK
0T6lXTJuQ6EOl6SHGwdiCz4MzH33My3kB1g47tLgfDumQlNRACgZ7RY0UbFXG7F2VcrIc9HVV0GL
aT+iDPuYUSj2Mqgy1/Q/yN4AUoddpCh9u8h+ECk1XKWO9GkFfe0TeCE1Eou7iTg+DuOx2Amy0A7F
BLxX7T4SzZxXG37eVBf9Ilwvk/d/efa/Sg60xs0nZ+SmRtMpbOxq049m+CliFvMqHMx+gBvNy22r
Y8Vq8gNp8U9ObN/j0nL3fRUEHlS2YU2F1L0tZ7u8p1/0YxYBubhO5G7GKpz8MU0U1oou2zQx7YkP
Rufy2r5drbCI/vINzqaRsYOzF5ZTu52UJDzQoC0OncCmgQXC7+KGSb6HxpokKp5yKpJtBc3tzx/B
eHcUAAxZykCICs5fd2diLqFJ1C600w6OI+rpb2yrbmyzLSAwq8947OVndKrR93aJRhtCapX60siM
IOqF7UZXKcU3NFgW/PSYo4XuKy/iglspAKtRpdB+TIWmMVXad7ZBw4tgXd9SXOqhtE21QagXitCy
3VyWT/ag3lkTF4LM23vV6Lbig3v++9YNOh6kAJMdAvKc8xAgBA/knCE52dZJ9rkItvaQZL4y4ysp
Z7odf76770zbyHcFJ0+Si9krnp0oWlIPiqWdsK3C4sWNHcgI2pAgrv2nZtrlXeBKyFpdc5HmnW/s
Idf1QOQEI6kJ76HAhnj/ZjrAeM3AYk8p/F7VUpwDqeMfpbm8s/ouip8lVImFiY3329ewC+Mahq26
VLqnx6BzbiStfrTyL7ScvnHktT5YoF73nmdvjYX2BfQGmidhnUtuIHK2Mo4ZshzDC4p87HsmOoNT
EQ0eidY/1CC/xwgj/XCq2NyYDiI6yAS+ym7lz8/33cGEapSVhcAXxE9vv3rcd4OIBt5f3Eidr1a2
tTIjBPtKXFLEipKXP1/unUXTQjXCY9Y4e/9WXoXgkIZ5L3nIUyO3YaUF3kzK5gdnxHfvr0Ylg5HE
7UUt9/ZbJa0WlppJj5IzMimgg4TRWQDzsQJH2Y8t+OtwgJtJZm22HoMwB0mnZWs5KMcZruAH7+vv
h3IkrZwKOZTTnBPn7+s49WImd4kPMxC8EYV2uGmbGaj7FHphDhW3avNiizlRX5U0Nz54gbX33mB2
Q9xs9u3oBs9m6A6pnG5gU9xOmhl9q+yGHhXEze4aP56gzmuVRBuA2Fbxak2LoQnHfiZ8NakINYHH
EqXeSMbu5RAZeD10SpCaR65J+/znkfHOx0TMjriaV599zrlaNYLtMonCqrc0s5tNb87Dmvaxu2Yv
H39wS965FPFNpo0OjTIcEpi3oyNOtLaqUbxtuznIX0xjsm/nIsqBxljqf/G12IOSlGctJbXfZrVq
sTJWjllvhR43tyQ7WJtysoMjKcFUEf9daHynzPTOJMaVKIuwRbQpap2NeX0OQmg1XCk21NAPuqK6
y0O6iaxu8wokPf1CPOAfTB/v3krO16YFxwIn0PkOLFSJqKDev510bfByIfG4JTkKDxVE55+/HzQ5
nsvZrMlOA9E2sXqOwYz19rk5oJX7cNYYImaDu92aJtJY4sgcZ59EziLzrAZxicWeHMurMYzKhpNj
L9czoUf5Lc5KXq4YcZC7D9ope9CrATkTxkmHrJQMVjiW1jp6Kkdg7SlyyXYTRhkO5pZWN8ICvpLh
2VbpOD6ar1HbjLS6piOFfncbTzRk1iX2qYS4+0i7t3odaSCcKKFvCOCW1toA0Kx/cYGd5z8sAq9o
BVScYKKjjAgNWYiaTfSpzUpt2mdQcAkLibWcKEm10g75LKWybft0aK9EXvTOpQlmKri1Wi0rNvy7
Mm7ykdQPuepNl/ZIgT4mvHTsQth+D5SdAFpRZ3cDYQfBoSmUcod9tAhWU9joYMqj+AF6hAFxuDfL
ZE9+Zlih+iDHdvGTLUItUnOai2TgOIlYwqWVum3b0U19OQhIQCV4bARPShuo1B3ySverXCybqxjx
/ZNNJMi0snHverNDWO1dJbDTbYmSQjmI9m24I9ug6dZYnl37pJY0gNb9NIT9nk2s3NSOdOONCU2U
uJwqnJEatYm7LRqWqHUWLOU/VdHdFJS4cD7Bx8w8meWlASE9GpBwVZXY5U5/S5130w+i+gyJPvuS
KY566oh5RieJNEVBM7k2ave6z6ZNUbcbGdnFiRyg1WBG4RqsQ7zVzXT0UzfNAS0NB2OYRpp67VOS
0ooXvR74fSKNDcjvZ9NQxvWiZV0o7fbWakd17ZqxtTXxrK3YMQOMghd1bM1KfrM7JG9mP8Fds4en
ubbEbjAkYhE5rTBePkBwWeP2r2+EC1uNXJb4JiVm0OvVWDs6eRZdGiPPg9MCNGyEhnI2xFYo2m0c
o6KLQKPtA9dMPZmkPZuK1vYyVgm/be35Fkznvu5MEEQzONR4Tq9Tqksou5pDKiWxZGpKzktH8HEC
7d5LUfEdRyPCExw7N4FjnnIlkmttdKLNPDezNyldj/QKV+HM1vVEzkb1tXBa9aKIbLgdHXZAqXbN
i6XUBf61ofLp5uFhLUuxbzIXfSbZy3tSxPV9i9N3TZHioKObwoaqbVIxfcnVvv4CKGFnC/Mu7qcv
QgYFIjiXQl0ffMlh9De8gbmzH3q72AwKIVUkMiK5c4JDGxgksoWls1YTU+E51PPKTFwIyZwbTnGj
DDd12AAF7iXrotFewNUHQyZJdZsUoqVqQAEIIOIdCbf5rsid4cVswQdP8QjO30+HuJsnry/rYiba
hp1mEwak3bvdfVqSJL7SGTyfYWcY0rdrzhEspkwSSdiPKOxoF9cjoywhP2sFYGmv9iEWzLIrgVLP
zpH/U64lL8Q6wFU0tRf4icOxfYTeb7cw9fXAHFN/bvXmESn9BgEvzUhF5zNvbUUvv0ukZtXOSDO9
93OngU4/lSi0L1B3dgl6EgeOQTYNAmV2GavIh8s63jUNdwolZpH5s5MP9xFV/Rs9QyYd5EUa78fE
atbCjesrbdQdJMq0I1fQ7uUhilv1m7VoQlfUd6u1PavZ8f+xdybLkTNnln2Vst7jN0yOoa27FzFP
ZDA4kxtYZjKJeYa7A3j6PvgllaSStVXXvjYySZmMDAYC8G+499yGQ/bX0Aexty0mkOCZFqlzwRHi
Pbkqj75DhvtyTRVQ0nxHytzMUzC+sGcqv7um8ypErL31Cca0A1/diGuI3HdhJYMJSPppP1CxPAeT
m32onteZELEjgLLb01zTT6cjxBY8T/0bUzjWIFmPqHpQmDVWiRO270kctL/axs13+Wi0734L1pvY
paE4oqvLdynyxTdRt9Cg/VrrDcbNctjIuefmKGxDrHPTzTex54l1RsF1lK3INwjubGy0Q9jtcvqm
8oAYkb8/AIZ/bSMdz1vWyVawCmMdpXAcgLKtS1aDx4ZcuuU7aOhTHGbJk1kmiGb9Tto7Elgb47XC
P4b2pcnD5BzbM2/VyxUG9FHquziK4is6sGBTm818Vw+LGjlxeVWnQQBvpt6TGmwxr6hE2pPXJMk1
033zyejO3jI4E9cYn6hHKF/Jkl+O+U7XI8hjlBPxtSga5a8bkYgrN1HLTcXVZQjfnvIyJBE3SZqf
nYo7QPgdjqqUzzvN8glafzXtg4QPFUvSBEzbbm+N6JqfoCaqjniNuVFQNzIM9FR8BzGWvKyBCczq
3PbUWNjyZ9U3P4ep6d5Vwuc6+377q7Zi0itmCeR81ZIsc0LvMO1lOPRfoe7F1Z1bAwRMHcbXMV0S
17SHJuFrxoQdwF+3tUNMncP+HQwFxzIyAiz7a4NQwhaCdQKZIZASRVgLAvq5QQ56JcI0emlgRmLA
lzWKWC/fDMDjiY0BsG+tVEARKaRjb+MhaE8TIWSb2JDq3JX88jBtx5eAcEpw2lF6cBp+ujGN+CrD
1kMLEggq8Aqxy9V12uLY5cj4V0PIEGeT5jo6wfnjL0QqDFbkCiKYyJAyytXMfc4Yq+rfpomhNfRK
HEixK9ZRNBVHqxuWb7lMGsnOxRZPJNipV7ceJNmBSK5PhTDzx2Domh9OlnhPRji3JDRWOrkSCF9Z
q96tuveixSOBJUS+ms2YP6bL5ba7KLiIzALR4yr+odyAOOL7eH0pMpKr2/Op4RifHkyQJ9/mXKd7
Y3QFyUZdED3aJca01kyqi+doXrGe80dK9vEFYmP/NWvlGieQHH2yNYjc+/YbxnzrSCZYw5m39KQM
eggJ155R+xVP8hkfVGp40aOb0HKtGtmjQykVkFF+d75JM1Q+Hr2eyzeNZ1ZyLfKsttbEddYPBrky
JHVMBdfa7APooZ5TB9U67IfvOjDomXCOA9kvNQbzOrNe3Xgh2CC7+O2pTMJTscf2xtNi/q7R53Zr
z66mfN1lQv62QaEKrpnPd79p+Fg8TvJ+b+rc6lbIotDt24XxGA4mTzPfU7+x5LS3IaoY/Ld2cz+o
CUJOFrU3awjiK7HD6X4IF8jQAm7iOQbdYgq4v0nHGt7aNK3MW2cEPc/4Oi8Fap2aDw+PzB09cbRr
wELwEEP9xNx0cMDBRk7wOffBcB+VTbxXhKYeXK/k0nBsXpzOxXIi/Dh98Ny+2TWV2790jYLkOSff
0GP4v/qmaTaRapyfIoyBgTfoiRt3wpjvkKAlFG4Pi89rxUbT3eTILpD3O+X0aJVAwyhCoPy7GfSj
YiExGvUT8Qx3ChgRu0gzpZfpuo2WYUayeHACZa5OWdl0/LNAeU0NxDDxS54bzsx63UyNu9EjV6ea
RPTkAbE6hmMqMUWn5YydgGVjiwv1iOzxpKaJICTuzTsz1t2liv3qFCcVAaS2QwkIiAf2UPyDXM72
mPvVYolQzhehFqc2NS0eaQH/4fTttvKsBuou1jF8O2/U2+DtzbH+Geplz1QPRFsa9rGNap9tWUJB
qrJ6egtGHT+aVaJ3PkZyD2PUJtQGNKu0rQ9kRfxg/ld+EKJFIohf8yEBH4150NPhIM/GJLGE5PTH
3DCJHYsMGL+l2+x6KVl8WZIAhEnrB2CNBIxkWf8kW7Syjg7jR0kC8wpRt/8gzbBaMZie8IRE7o8w
Db1Xrx+KQ5r6r2NmlnvGpWjcTUo5qPwTqk3gE3dpwOCmtuxj5MzWT9gDege4y9wPoGdxTAFH1Yqb
scfuRXoMo8J4mrwzxYX7lrkCsv9Y77ideADXII5WsQduIyzC8JtUJPttxPNzH5bhjGqhdJ8Jtslg
dIXuTvDsOpdRX7xawvdvk+IqCWBe7c6nLlyRvRpvQV42v2dWTfa6iYf0vs34GqRVEYNIGivCMZsG
NJJbwvgdG6CXLBBW4UwqgfQ9CnrYoT+yacxPsa4OQ07M7kq4xqWesvE2m/bbkBrljlsR2vycUagJ
RPgR9ozSFdFLkdeUGa7aQaQys1UTDOljYHbzhniq4NxP6RKRkmwTUeQrMtjEtWwEWfKJDi2WFsV8
nKZa3XnIxitqNCPnhvOqUxOPxMtlDpLZFt8/911X0ZaScMxtxA5N3WEmyN5LOJB7YTGAZ7SGuL6d
G0YaMjXAnBG7dJkYZtPV+Qofg+yy/BTq1HwUvouRyx8PkcLJE/T5XcFVPveVJtrERYw/seAhUrYf
Lsx9p5XXZwcL9AemBmdFn/OjqyvgyImYkTyTbZb5VRKslBqs93Fyu2Nt+z+t2fsddXX7ScVafOIT
xpDR91CnC2HsHCXj7eDL8jYRZrMp8HSx9A6HhaVCOAbl0HhQdqlgjTi1djfKN3v/4Ocw8XhoePXV
IGQQd/Hk11fGNzXk7CADDycLbDl8R0X2WcLMvtltgOEiZY5M7BYP0CzRw1fR2+bPCljSF6EaBEjZ
WGuvLSqAk0Cx+IRnCxpvR8XDdUtpcsC1EvmlDHxxRYNfcUZo+cFpyexshgQnGfrzR+irAd5UOZ1p
XibuKV7Aa2VeD1+97Bki9JMsv3PwaAnpNUP0afaZ9RM5Pid97U5Qd5Aof+K6owl3o9Qg526O+i9D
NMgn7VmF/nbORfVUtNh8Vn0y6nrnx4Oqd26omWjIMeHrkdiSAqeuivop8WROei5Zb58gCfiZsBnx
6vhZSAKQC7MY/phDjtdG9bzLbYZKNthUqLR8mpiRfzQDrdKf01kM9I1mpaxkrRudxjuKV155NgJQ
wq5m/LhJ3HAy9iQ4UAIMbEhBfI1g4bLEdMGfdCVFaxF5XCVj5qhbF6OMPlWnIEdjCgS3E8Wi/LYl
GVkr2Tq4bDXi4c+/fJhCGTH0bdaT6XruTZRpvjWPNeQbr947oYjXxHP3OajuZSjgWG71JNCPVfsi
zRj3oCzAJUTyV35oLKZAV7sVo7UjOlicJ/JQnoRGUcElZN+61lHL75f7gnlI15h5du5RMah9OSH8
uAvVoL6Vx2x0JW3RJHeeYZHGMil7X8mqeiut0L/lftgSrgog9FknTT8dRsbw0dWV/NIHW5m8R6py
3nVagY5nnDVWBvu/Gi0914R7l9l/AiMRuxWMHfIlBh4Sdv+V0r2kK95seJl61f9Osz4r9qHscMfJ
sEyzPTw4FMUF4B3qXS7nfKiY/510SvL2iu8hFZ1I3CY7ml7HEIWoUrCAqzbFccY9RcPNIcz5tYY2
Q9JURY5XubbnEY9JohzSqZcSsvArXFsF2sAXKzPtLW5K88ROujvoUjq3Mg7GC1qm9JWER/2ibVf9
Zaz+36L7/0R073jII/9hdPqvAJLf/fBvr2kXp1XKDPnv2vu//uTfuMH+H8iLMEWzzUcsCG7k70pU
+w92UlBEkPGx6Yde8XcpvolI1bRMP4A1/M/cYMf/A1Och6IS1zLSMmjD/+d//Rr/Z/y7/uv4uv8P
//vfKlk+EIIz9P/7fwAo/udxL068RTDpcpIjN+Bd/sfZMidPUWV47QBLyDPFuMB3w8Tt7EAOY7Y6
cMjl0rEeYecxGaBAMckhJaPQ0geepnivSNrydx3d9xObOIP88CJ8TYOBIJeQLEdiREMcbaNod9Ir
EWSOeSKOfYRHZiczGc2IuF3N/CIQhVi5ufA2KgRhLppyPLSRe6qCXAL7YogK4zGIX6wKDxVowQ6N
kpcx69WvVs/TblFpTC/zoPAYa+aLqVqW424mb7gprdNQLyfBWPWaZYdRqPVsRO2j4JC68CNWwzB9
iQWsjVsaNVmPZSbThw6f8d2sp4r8Qcd8m7tOnaFQTM8kI0AD7frkwQ4JBaW2WX7zgtMIk6KXYlfP
ip3nCwXWX0/lU5wIsaNMh7rf88e+2VpnIn9e6rwWqzgY1F3gTrtAFcOa7Mea2K8anwKpBcNTjmT/
AXG7c4vgKnDYeIBKWW9IfuMiMGbYW6hQqTjcLbN2DGys2za85xy3AJlDZPJxnhm+D4vKeSM4vDkw
aL/4cAP3lkyuMfDTgQAE6P0bn0jatSu0C1oznt3LYHQ0IH2FJjPwZgIBy+EQ6mp4cXtMyeSqzdbW
UDb60GxyoIv1leB6CHkBiX8YMvMj5Rm2kfwu2zwaXqNqMqmHupcpJ80wnMzqs9PZdLKSxmcBHSQb
DJ3b2OL8K7I4fqQfdipKkbq4C4heui9YH/FRF2Xir5qy9q6x7D3GtEa0MRJffURdZN8A6GVbEXvj
ZZqb34NNIABly+xtl6PmYQb2eRpBnGKrd9bIkMcLarsIK6PHZLkyopvlDO/EJdBPYXk+Jl4XxWc9
mIW6jZzt7Q849v2nqVv5nbLOvHkUl+csbp0nBtQ4QEQlL6LvW289qJKPTFMe3knb/NTQ7u+NxsbF
qs3fEI4/fa3rnm1O1R4hgWCnZKV05eCzCNzspuAjiBP5jJGSCR4ssa3XRoju5hKV2sF0pch2nPCs
Y4pK68+ECBJzYwFNbgguwFxLkF5HuctV3gogKdu06pV5U/VcMEJLzAvxnz5uaYv9hmrsBy2sD2g9
H2YHTtnEUNj5hLsdQi9tsCH6SdvtFRaUvRnb3puIguc4an6btoxQnfgFMaOovw+iUCq4JgUxn1XI
Mp0hh32IeeY88gqEfyD9vu/b9MymSx8Jpy+xAIIOw2kd99q+wwU7x/sgGrt4Lbvmo0yNRj52w+Tz
lvpdZsjoQUnkWF2bY6FWjtr0yht3dFf7yXUA5pE01d5s4szLA8rbkmApBv5nrPQZVpMe29pqBNB3
1wsn2vpOnRyTMrK2bTPolecbxsZqvODN7Uqm9MN8rkzfOMSYj/d5ANQ58mxjJ6JJrQjj1DtaafS1
Y5G/Y8qcNmXW6jOiIVYoA8kz0WTJVdCjLM0ZTtzI4si3DKHUysN6w6o8d9dZW7anLHcIZ5Cy2SsX
7qKyyvhOs/fiE8jm+bmFsXoUQ9DdMdA3XnW8SWRxliaRJeCMabPSZc6OT59uqTlT27zb0ehtajZ0
x3GO5q3gb52ZO9V3VkFm59Jljajo6taGgsjOyj/mngp4UnXtzSE27xmVXLL2PPjfibAI/p2aedpH
YA79dVjk+cechRJdiq/PwrUWIrX6BJBIIaxkMjK/YAa7sIvwS6p72ADTNzM7xZ/6/i4RMVNAP23k
foxwzjJhwRuesFNKvMra1LYpjxGVHwkJUXchzviTg8XbIX5Sh4rRG3dpVBNuOjRae+uyTIdfMIac
Yuu7fn+hfAt3KraeYgrkg2OU5jk1fdJqqyDbFz6VbjJ3h546cWVxwG4rn0R0q4Kja+NXOpqTb62j
ME+OnnbHLSZ18+wNGtHsEv/eN6Z9kaguz2Plp1ti5x4jjy2E38f+nkyYPiApNP2W6SRrevzAJVWQ
Z6/Grb8JHbs9tqRIs46K83Zjjs5DZ9Vrox7taS24Re+SJk7vU3MkBLkA/zPNebhhk22d2OVEOy3b
81iWLRY4OhxRdyOChkZvM4bEl8HBVjpLNzl2c/gzCIfyGIvuqw1juZW5/lmWLmZeoBmoWzlurA5T
fdfHB6kLZ1NGOLOZKg595dyTyUinze7uRqxiueuM/j6eskdp9sZNJxlqHQ9ZEKtW7sbiPvaZWo9e
zmADMrgw4Xj03k4wqN+4eUiajSDFFv3wOL24+TSttORzfSSgNfZOczZM8m7qySvY2pyc3cpOR9ia
AxMSzOWuridz61XBjI6D5Nj5qUzN0HjXvT1Om9T3g3mTCvLpwA1XSHXG3CrI+SHz0poAIaZPwu+8
bDMrdForuIzuvWIEyNdKWM7KzgipW5lWV/5mMzOSxSrn9mrXtpFsGFTMb04jx7eSPL8TiEcLxGOF
BGyCY04otz968EdydTK9XPPoLyo+A5UMB7KWya0teWIGueH9mLIgI7BJZidlhtJZISUoH4NZpqfS
LPsNOtet74d6N9kBxGZbsnUetHjop6Dd6aC1dk43MPYoKx6veevwAeUT+I3EjONXd4oamkp0/STQ
9xQd8GsOaTcTkmLOQq50LXHZcLrNmj63cc5dI8tkO9hdY/UrgluZaXNymTvRc7YRYQOPB5wBQswZ
xMtp6q0qZg3VK3lEpy3PRZIbR6NtPQo/PJf5Cv0NunfBQmuN771N2RgiIKmROXckY0pvk2O4++gB
C5CUlJnZLUi69jELWX6sQo9cw3rZu7NDHXcdXpDDbCVkLbf5qMyVyYYf+1M3DW/MqUKEmaF1KbMF
DV1w8d9nJ3V3Xi/2zhAxikpnFvSEvWAVb/M0IpTIUYeYhF6FsqqPCYUwynt38hZsg+Gzsi49Ozi6
qWu+RVGSIeGneVvH0gnyHeahivirfDBBXA/DOw/vGWBR753r0Prp+vBsJl+Y5YorGrWrAqbIuAq7
PNlq2JgTi1FBgPDAgmXtEmB8Zb0dWGuQI9DdRXLXCN3sQl0OMIF9cfSgLsCuQP9w64tO5tse9sve
rVj0hVy0U8BUXW1IP5i+xihIPoF+py/25PnnyCXAc51OysfeSGm2Ic49Du8I+3aI5fXfh5JdEOFc
pOnEwt0VBoAWGxbFsbOnuVv3WeZ9OI2r9BqkfHdI0cxyltjhXZFN02+bAJr10KbWD56n6SnVhrWd
Wtd7VyrvoSeQ6BTtDKJig81gQjqIh7KDWQJDgSA1Zys84pPZd+Vb0swYNo6l3AoY/+fZV/p+Ar3w
SFQitFnytdeZQPpU503yY2o1UV92XbtQYOoB3IXVdNvWZlhW1vjwHewgW6Do3o6G3v+ysZ1fIILN
9wHjt6dGw4xb8zzPvuvB6p/DyizeY8ssYhg0WXiCWBGdUr8wT2bDSNHn+3o229i7OfOg16BdCGia
Tf4BVtgrAiCa7VT5FrU/kgAhIglGY0CelRdltdNeI/ZZYVRHZuYMVsNCP7NrdHaG2W2Hps3w9QJ8
yLJS3We+b595SKgNNyA3i69sChaefE7epevEaJttXmbednKtkkhgNbWrumTdkndudm5SapSiNCEz
hkPxC5uNmA9+ATk3bfGaqaHWX145JsG6KcLxTtk2qghNuO3uz6b2v/v//6T/X3xUKKP+XRr2L/3/
NS9+ULb9U+v/1x/6a+sfun+4dP2kHAIs5JkeohX7Wwij6WA19WgAfdu0F9Dgv7f+9Pf8yeLvw5tJ
s84xscQFOc4fuAKECDDn28vPBf+Vtl+IRfP+DyqvP52viIDR8yPJdv6FBtgp1pijZ7UndzDGDevZ
3ZCoYQfCLLghKkrgIRHDC7uG/b3YwjSTxksyiOyrYKXFSGAEKTeT/VDigdwDe3G6ZyL5CphlYZo9
DCybGTim/oeYma0nVlycB53hCFjI5a2ZpuXJHokqpIBQm0Fl1SVrWsg4VdLUd9wjzcwM0NrHSD7W
8ZzYza5Uugs/FEz04BCQSsoeop14LulRBg+TjQTLr+lrM1xd7tbxSMNdh3ETpD/UYCTvsmMgDsC9
xqhOenHuXQai5Yd4B8nNdFH5LKSeVanTwCFPLsGQ4u+Ctpib+5pckn6VjH3nr/1qytzoMKDi6qCN
g/UxylMlXBGwFrcj3IYbgjtKsqDRCWKRiAo+T46pqZS6xecUmppuWFFpgs20zF8oino9b/MkFVSa
edWLmW0rQX1MV2U3GywCJC0ws0HbKNl8hS5K7SSYW9fasGZw5zXVe1xR5MaNnZBBG5CkPmdfc0Q6
scD7CkFKbFRcpy5ye1fFeztH93nvs94+mrrqHkxC11ekQTsr1sA8lwnyPiaGobCUNPYTtQx1gdOb
6KSIj7hZhRY7hGnTDx9T4VYXsljTy6NUqnsSRUjruKAXc/Z175bHmsX3Pq9UyyqwqqFMqkIeEQmv
fZnku7LEGuKw378yIoNrliDD9lzsgu5A1ZahHzr0cxjdulKXb1FlYDnISVZjCq4a1jTeS16X8c2J
2/5B013ciiZXH1ANEHOHFuo71lk3vg/1blJ1+lr0Y/RASOH0Bn8f9wlcfpYNPmoylIL+fRjm0SsR
4c5hTDzjaozROKzAW9NQ+J1zibyo2BuZkc4by+/y6bVpA0BeJBC/tJ5VPfVssqwVCe0xSfFZ64xr
5srsIOtpno9Vx3hwhVKipAKvhqMe525PIHX8Cs7JOYezz/jYojx4dkMLQgSHcpRtZN4V35Z2qbqA
KAjiTeqq2uZ2jY+O3NaHLp39Y6fFc9b6YAOlu6yJRv9iQUeP2SQQAUBHItVVxrF9tsaxPmCJI10l
m7jWoCi6W1J41SuARjhlkd/81HbyZrWdWhPAEpy40hAOG4gaEy3T3TwV4y0CIHiq3LF7ji1nfpfO
XJaUNKP9K6s782zMlY/lsHX8ky7GcOdmzW/FbP7AHrjdJpAuuYJ+9hSiBH03PVwVcI7TNwdnk1iL
NsjfWuIdMdJwhxEY2O3RFdvb0NfDLm08gLcZTV+QFvusc6ZrFVbipMceSRoKAOzB/KxxtTLWbrOY
MzA2npk+4MYelxx5AkexorK/tZadjQgIFEnB5G2Q1kxbXGsNmwgNEBEK2MrnlF3Hhon6ptenmtXt
xpmE/eoCpL8yEXtJ5+4pawz/axQ1FQzRqGbOogDQJErFOXsGw+GeS2J4LvDtARxmfbSBY3gM3d6/
m3QHgb+W/dNcBEDyOrP+5UkzWDUafQTRqvPPVteIbSx0VRT3AJ5IznZfYnYYayTjtrvSZTthpArj
O5YI8mMQxqaqC3AeeWmuZ1Z28zobuxOjoPgHce/p70KzM8POfWFeo5cabdzQrjvvdrJoYwwcKWDm
9HSxUUTQvXkU6sNgG9xxbgIGox2NHeYUgw2uGRCTylYRb+xghds/w5NUz2aF1jw16fNLjczTTghp
YosI1CyPtYMMKgp+5rqESChTyWouKIipoAKfHgk8DC61qsQPKbr6jHC2A/w6WDznJAq+h9iqyCTB
u0Drol3zzl90HJNFb+rHIbU/tbve4FFgX9inyRFVq0LUNlko7iybLNO0z/mKino9mOOvljPv0SKO
AWxKRPgsMZTrOIv6oyDcYT+07ngxBjtdhyBGfiGhFd+14X6lTWtfLKQ+w3pqSyzJIbixLkMEUxr5
naYEuwudPL9gD/My8mp/JabdrtolQcAdx5fa7J7GdjbXAb03RnO2TClhlruUfcHeTOfw1lpdTXVr
J87a7XV/iI3kvshVvHNlimS56qw38jbcfUabveN+/5XNVfDY2tBOkOHWz7FPFLKVdM2JzRr8RyDX
xZ1AsrUWfaVIxDTjg6FHEIhe6S0oBqu+8c0tyYwI9QN7aMYF47KzshuroOxxg9fYY/DOO5w2tm4q
OucGDleRi/KhjAyxK+ypxofIOt/szXFDJ59ejC72VyTTE6kqR4nUdhw+7K4jyyQgsFT5+efQWz8z
QuvRJ9vzRZFGJFl06wTxRFuuqr5G6FwygJ6csf+2HJVvJQPNpwzR/1a5Gtx/TJ9G6lGwcToDuYGy
+nsMFYAsQqflXaTdVQGJtrbZHKKzdO0yIHIrwYsiz12KkENU+mfHoPuzHbXcxfDMvkq8tNtpBnbF
Y++TEOnfXZ72R/Kl/LVJ07dpBf8tYrC1moTwDqhPGRZlBSvy1LJ39pBal7kxsl9hFpCkXCTGfoCL
tnIJqL9hB3ROdp+lO4hD7ZFwsUVrVIQHx6175ChUXgabyH1uJ+qcljWqg2Js2s1gMYw0p3lAPMHs
3CGx+tcgdLrmvT+jsrHWckq8g1YOUSzibnaRzFaEZhBGENo7tvG/WrO5SQLcV1VaLd66ec8jmv2N
Y7xbKTzSJIErluYzFUZBm5Ob9b3fdDe2/vuwb/cz28WVWaLERjb2GBhDTnzwHO9gNgWrlny8lZdW
NovV5NTPRbyL3OLOKQ3UVf2o94Unw4M7ZcwRcAQYefUwdWmyG0qTIUNtICUrphuB0tYmT9El90NT
g3luqg0ex4CdqbT2lXKQJhi+czWGEQlCaPjPg4uyb86ieo3B43cbecaW/q5cpSQBM0GiMVNRnnAe
OPKmbSv8lZZTSzIPX7+6Nw4eyKmbZ6iAwxgZoRI4bMywkcexJPcwq2JjFadzcCqH6Vak4hNe3st/
91L/Xzwf2zRpcP7fvdT+d80e9Z9aKesvP/N3ng+xI6B5EDQs3dI/blHFH0ukATIJ3/tzlcmC9a9A
swW38bf2yfwD8zjhlnRQJPEE9n+lewpIu/+n7gn5KHtXXszEjoMTyFuWqv/gKA7tugqg6BYHJ4g/
CGse6ZPQdHi++V4Z3lOnjEO1aOiD0npHHmbtpD/temT2LDOCLQpJ++hosrT7RY1fWVocw0Wh300m
s71FtT+osPueyN3ckFSOwnhR9xuLzh97rvlo/Kn9X1wAToFHgS4n3UVGNW5l7D9mi2tAz+kmD4by
XOlU82pykd+2Lbsh297AW+tOGAQITSmvU28LPNi4EzJsCt3iVxBATze1r32GnVo+QycEcLY4HJLF
6+BietCL+wE69JvnliknM84If/FIDItbIlt8E+bioLC8HuH64qpAFrl1sVlI7BZy8V0Q345hBCsG
48psxS5Hb7rFp5Eujo188W44i4ujKVrkVouzo1s8Hnpxe2gXxXmBAWRYnCDu4glJF3cIArEfNmq8
xfJwQnUD8jbF9MFpSdDFUMXUkuFKL46TEuvJwIqYh9E1Wjwp0mjHQ+NQTI5+bT2Gi3dlULhYYBzs
ylDfZmsoH3MIAuwlAnZkGe5gMp5kcQfFLtZbO1AoNqo2f5eob2+Ynt2j0xvD2nEqJIVNrLqnlkXl
E1hTcWYijj7IKEXHfslrUXA06X1XF/qdHhJJNcDyV7jkOQ+uWiKCr3EQJCostz3V8bHFe31jeYhm
pHCY8xW2EofBCZoPP81Q+2S+Kl6rvBJnAUR0T6AotOrqT/WUVWA2ioEZXxDeBxuGTBYfXmjDPU0k
WuzebqpT10dRxoParE6tMTNmbYPKp4stckDkFmlQ9yYuifOEeWxnaz/79G20WpsxiqstW4voNbOR
Q0EALrdjmdZPVk7+luORkOMuahqkg9ln00Soa0KLung5huAHZ8a4ZQEwPkzEg9zLIWeHIGNWMdRw
XD9N9I8zaOpCAUpn07UBIHWiyF8nLAM/O+k7R8MhXXwdwxs7AJfh7yRqfOADNNaYfOBohyYyaXT3
AFMGXhL/+QRampTWBxuy+qtgmZkfBEkACziFGFAmhrzHZRXwCIsLtV4tYKs7E9ehCQpe0ALG1G6B
rVfbSZXTZhxKQjq5//Yp2o0FJ4N6OBrT3luBCy5eG6tK75mmIi5qZ8X23Wl+ixFtbiTr5vrnO8sg
HQVkc1q8fEEk8o3hB5Wm6IS3JnEyuP0Fem4M5TdrcMQR7Jufe2i969qbcJimyy/+p+gXP+zw4rM3
+i4KguOPQvEQ2YA8mrZm2C/cPzf7/POblomBf20GHUIcO5OUczpSngduWF81oFZk3XGGXwSx+ivS
N/tNV4snbChd/9ax0jvWOdkJFvq4TddREtqx9N1Dg6ZiJ6VbnYxy8ZfbEfNvmsrha/CT9L6iWL6S
qzKdW6KVHiPmEI+6NcptwjeSFi4U0Wdo0wZpUSZI9aORF1IB/6I/EQNXxInxVM8QZAhir5/aGGVr
XSx5xcvVYmRQP6Uk2gTrPo+qYW1BtAHgz907+a64WG3vRitQkonCqMTLA4GM134x8q0HB7jCT/cR
YJ9Y2yTMMTGf7/squVft9CCN/lm16B6VqD+rFHdA6U30C3f2IK+mjh+SpRcshuRQZt230OE5dGqc
KKgLK9t/RESyc1SyZ0vwGpMBuBHs/C4eww42xkzZWOfYzVSvA7uqHwfOMbmyHRhVVmp5jyjJXnqL
EBuPYe8mt4KY7WnjrC0fkgylzn060j2PLJ4i4OGVHz1YjPau1mhnO5JCcb7pwEv2Xp1nqyBELTI1
OQJ1PLoHpYpmPRAQnGyMzvqqmGOo1v7dVqo+t0nanLNZAoW2S+sIsuhXZw2His0FxyRqAjpJNH5x
9GHE9ntvBL/YgZZo6Ppyx8hnQNhRAVUq2ZEjQkaSa/9f9s5ry27j6tZPBI0qZFyenffuHMnmDUaT
TQIo5IzC0/8fNiWbbNmkfa5te1iiRDZShVVzzdCYw7py3fIBE0cb5EfNbzmpqiQN0zVEw02xPD0U
qq9Iyk0hVXcU7s7MB05cuZvqnvBv2C3448knV1OKQgA8ppPOj8I3rcPIIrwRfl9tpwJiB90aqL1z
tTPK8qUWPepL7M8vdSq8U8PARwnm0gofwhch83ptQDDh1PHN0tV9lfje18RET2CPtfjkIYDYyDR9
pMegXjU4ypa53i6evv5a9GQt0q3qTvhV2vVqmGfWA2vIDpGaLYiAPijjDFM/CB/qnHxUjdW2KHx9
jTB1xBAv4mCx5kTFQaSYsbom2g1beelegxCmdwyrZotdr7y1ZhyKOc8XJRChoQ5YZlYbuyWAoZVm
9bV1zHQ75+ZR52VKCnD12meluan9NtgQQ/FRhACqomS3D+BlYqrTf8Hm7qWOrb3Qdfg0ygqfMgui
goNWZF3aqHQb23kKNZ6eLtMQbKmIPvqKfbhoLU4qwr8cfcjFFAn+GxH1w70HX/Up1fVSQ5C/gTrT
1aexC0fUHWbo070e1JPyaCXa4IRfW0Chr2gPslNAd2lVRMAl5WBA73btcUfX6TRGucUZrRPXXqjK
O0h2oHxxTWW1GOqPVeNfV0M1fiqEzj5R+VvXLvGVa4cKa9W4oHYZs4iVvEtQ4sSFAxSLdjFYuZOK
LgdkZ/LUmqGcVnE7u9dmUPc7Yh4BU9CBPBOpbdy4kgDr1EJ8wkcsxTpsImM7pKq/9JyG8EhQigjP
VTDTlT2PbIMTzv8lkUknG8001CMCaMO2Dp8DfG/u4eonaju3dQG+HhTGdRf5zpFKId1LUdbbZMqw
swa1IEi1mb4VuWneQAzpnsYmGQ9V7NUf3LorMUfTxQaKLTxhb2w3hl1xQvTmY5pThaHIMU6iZAGr
pFkfSjw/1hVtZXRzOkRDiEF2WGO9jS3XZ68FWW2bcLxJXQMb8rBodnj2N/uag+m6H9NwTc1wNaFw
xgxoHxHlgLx1flFNU1YbVQyIgce6Wc8SHDSJ22yXk+24LpvU3s/lfEW0ud43yANXIFDWDlLKcDun
1Hgp/vTsXLCGNCmrD7VqR7SfqfFidcG1LKr2K4bbFCCu7nZB5Ua7PgMOIv0D+L9JEox+iTPAnMpc
9GD37KDlTeFNyK8WbKgVowPIOpHPOUWbFrtz7VoeOeumXCHWU3vcZvYudN11JgEXhjL6Wk+a1jJb
3kAM63ZIVL+dxDSdFqgBRk4bHsc6vEyi+t4OHWfjhb46wi2bLkKFExAyMSNO5Zbe+32QsrrKC683
3GTxTIwzWe1JJ1OA1q6qN0zhdgSpbUdg+VVgGASTRDTOaQMEpHZAuobDOB0n6t/50qFUSdcqylNn
Syohlu5+ZSKZ6FNyEXFt7/tyA+sQMLLF4l/TLfSB81cuIQzmYQHQ4SXfGQCVu7wIFvp8Pz6E3gxl
Qc+wPJRT7tTg2FeQtD/W9Ni3c+XeJ0FJJu7cdfcxCtBNFjjqpvYq5zOZHXqtzGL+LFvZXY05QaSJ
HL42EWSz0THhMg6DtYHbap9sgMWFBt3eQpo3L0fPre8jSpWtGSJf0Yb3CeJYSARpr17xwdcoyxqw
7CIMT7mRuKtICbyEyREnSTuZ1iFcbbbKKsMbzyZjzA8eAwAC7HcJ0bIotKFYv3km/X+7zptrV5KF
U9pf4sxs0TclwUlH9KOIll+K/gg6+meB8OKNljDxtWMBeZO2/8FyE4TSKngQGBSKVU0tY6A77tLj
PId+S5Fg60sbJfMdKQvzhww+zFUb5184gEb5tjTrHkJ4t/Ddi7DcJEX8BTdmdn2jzt+8wV3WrLDr
dj2RF7tGiuaF8sXdmtBD7zsAYIK+5b2VKOfGUpher6QJiiTsoN5gbs9M64vx2e3BtOrKKi7nbPAx
79Md0F1Rg0HPvhV/hn0goKypZNrlMmYrEEGDeo+jYUkdkAX+mx8JFo4hcuQ9iJL/ocMX6wW8pvg8
xwhakTpZtsGST0LGuqdX9Fgs0mhnEUmHi1y6ZWHc+nI+JouUulpE1cTxptdJhNBaLpJr96y+dsj9
RqCnxhLJSMkQiihK1FmpXSyibQQQi4CbjIyznpvqeZF3T9/F3jBY4SPW7fAtXsTg3iILbxBhHiaU
4ukiGW8X8TgKpcu0AQWqosa/d3Mx3EYxYnNrkZ2niwB9XqTozkKWaxZ5ulqE6tzYEwc/wPmAPpFB
KMMxOyvb/4f6/Ceoj4WFMrjIv0d9Hr8WyPnbr19/Ys9//1N/4T4SijzM9AXy8fhhf7bPA9Ac/PHo
NLOFWouZ8T8xH/cP15dIZ0CE8HWVi1vdXxiQ/QcOdrgVYpDoYGVH0/0dU/5XzHnbe2eUgokyFotg
UpiDgUBhDf0zCOTphkDi0SmOBtwYVneklJEatqExjqhyciw+V9JlMbrsTK3XeUvXRraTtfei0DvU
uY3A2AlpC9K7JtEFks3jlIp0i3Meu3oEy2k9NtY2h8r8kTxHHPG15VivcOvk0axEtu4DsiPqOIL6
RlREX1TdkYkQ7R0qtI1LNU9SRRqvZ0hSez2ws1CM2SVnqwk9X1znMId9dFpKlx9tOpqvRdPmR7Jr
5h3a9V3fet5GdMAag0qiG4kE+VDoJHukT0GPZWhtUqSxKC4/ooKs90AA84mkjgC/dRqen0Pfq6Db
5wA4qxzO9FUJqespVZ1/OalZ3PdjY26KzLvjrBtcCQWA7+dR9Im4ZPpMFKCH2SO7JE1qQpQRDe8b
LywOY4JpJu2/u7Iq6X8WZrFzDcJe5n6Q7PwEWRQoB8opvTX80KBFa6YcaUd/m0HpXvVp7TzAbsbK
orbFWsy2fRmoqT327WwcQhwgT3YaG6esRROcmjUrMfnQtFehz9Zu7MXbGo0y6yegmEwq+PawKy6j
MHf2diXznVlbDj+1ne+qwWyvvMQIkU6Yj+6UT1902rvgN3QmQy9t72bM5VajdlEJ4Kq6oUVJMwz4
5nNP/kBV6E8iT9q9rCx1QBtq7i1ODs+Dn7BTq9B9Iy8v1Ve9NtUVUi6OnH41xesJBGKLWcmwgaDl
k5zTNLvaNZONFrRSUVFC2EKYgZiigSvaFOO3aNTBbhYF1NMas4kt88a+s/XYZpdaVU9A8eoJ2Zl+
NVyJ/rWYHXFllOlwgQ4V8lYu+MhJgKN3FbExupT3GyIZ4IkKt7jBi6G8IkH5KaYF21G22fXB78v0
bipr4goKa7gxwd4v7Dpx4VJlNkLRRBq5d+gNqLQ7rHbgDge9DdSGQcJ4opbfqcIcgtU8NdYutit/
bcoazmhdmvlB91AZC7AD6H52L4o1LhwEXcIhMQkdJ4KslaCVkznnt4bhHAKnhnrcF/VV45qv6IK9
8LK2sim+oA/2wU0a7z6nORMaqFqObdLbobnPOvyA2XBQQQRfKAPqZBuFer6Zh6m9bXuY57i7WuF8
aRc9tI2uf3KgFdwSpxBzqMtS7xGVitoSZiS3UVYEp7H0zHwVoLbVmyp2OXXCWVTErGPNc6igHTZP
JlY26QRWkBZdvCnIMvBOUEX81tjkaHXFDQsl7z0fqhlJgFo4hGUUipc5rmGtisqIrmvt5d4Hkk7N
uoFqqOUdJqJ9+IbEtl07NCFXrHCrWNqGvRU94IkROrBJAngrqwC5CaqdYck3F12gPnvkKBkHvxgE
JCFAS2NV+n2PrpFsDGqOKe7tK45swXOuK+c1xYWMkSK0jI4y7mgSF7D9bovOs99g7XfpHsr6UB08
XXuIPQzOkSv6vyGZRk7KJWkv0RLOJ7A7TKXKnACbxS5KjJhssPZxxe8RduhwcpLbo0TR5setpLzx
fG2W7lr3nG67i5QDldiUnCxXkTd50ZbOlnszLQICxx75JRIPtWoc3vHaxajiMRt986JxjYWRR0Oe
1jpA8F7hPH+FLQiQQwKNFeupENUKMqm12ROF0Usz3uMw5O/LuElvCzO7BFiTKBikU15OsRNfhFXl
7cqxs2N0fb7HpBpoMSM+AYTtlGsuOR57xyjwuPI7xfoVucm2ifCU3wkvEQ/ILdTWNdtZrq0RxqJr
FMW1F/flvT947jV48vDiYI6iwY6CC+hS1iqrG3ptkx3tu6ablwK2z8Qqb2f9pdb1Z/YoamXLhmvv
haCNQwIfwRS1eMAHLNxNgHNPjh21dzbtejaHIjtmkdfeYHliQDBF1DMUIvwyk7pwq0Myrjw3gkWk
wgOCYvEx9WSyafPAfxngEpQIVs3qoJx6ukByP1/ZDvyDqJ5w6Bi1+hTDpjs5dTlc29G064wCxAaq
qVp3OMRXKzVY9hb3nvkWl0O1jdNg32ZLjphXdniHD4BlTTHvyVZx6pWSIwF+gCPrMcMQwrM5w2ya
yfQvEoslPsDcf1PhxLwauf7DhIP7ylxcyCJct28rHY3rYY7TLe5F0d7lARYvhIHktNGOWRpn+6Nl
1eQCDk5QvQ6+2V1Jb5Zfh94sdw4W4dtUhvLgtrX1YRHFw3Uvow0s7GiHphzNTNFl1ylSoueeeXjV
I6y/hcgXXNLBKtagYeqSzlKyr60Y89wS7bdjZu4hm4dPoN/JJdYE8Yew7MV1GMqAH9K6VAL5DHXC
B6Moc0tctxNWJuuEmX/roD/fY+HevPpesa5bLFFoxHR3TetgxGTnvnvMgza4S914vpAqLT+PbVSv
qiknx06X4gj9/EPYQD5GuSMoHpCUGSTebIn1bHwo9cbHqQjF1oaMRtxVIi4so03wM2giwnwMC5hK
xrZaTbJ7MsyedE6i2Np2ZXvTNqANvmqHyQ3WNYaW6znwl8TGyCTii9xC7I0EcB8oPfPeny2irfsG
1RoScOfVXGJAJxsYcYUdAFBz05Cnwaxydew9WI3yI7a8KE+i+LF1dZXc/a++/4/qe8e3qbv/fX3/
4bWNKTURVv5U4H//Y38W+FK6fwTwc1xs+APLcWz8Fv/iyJK54lkuLqYQ2v5R39sB9FgTrhp2j7j2
o0L/R31vO39AtZQWgjLCwW1iHf6b+p5L/ECQtX1cFv3vulxOE0vT+efqHtiqBu3v3bt84JC/LpKp
v4NECjkdqKv99MOL+VOW+6MMd/lh/2Tjni8GFTfwBJ1sl8d957kYOZON4L2zyVLDhKawS/NR0wJ+
/h7+iFS5eomIWHkNBvW7COx/eWlLkOzlu3TQl/PSj63sxEglMczSvju7LBQBrMctTVQmpde77Ln+
xPbdimZxVCBa6nex5MuP//nJIZ6aoMQBUfIc6t5d3rSSqAhUZt1lsKkSkrcG0jVF18/VCaMiLjfl
TO9fv+13oRXL6+aiDBWb2uNsGvvzMxO9F/YRVJk7BynBIyoM64hqd0YbwJHvueocnLySRf7fyx4L
objruzcXwcE+g6ZlrWsXg6XKi6C6tdCewu0MIvSKbTa8uNAZhLwYFgHgJqG/TAg2R4N4MxG8aH3X
5v8k5v5x1PzsRfr9MUAsoR2ZDtX3e7N4f8THbfJi8072BmOlz2zwQjDBnd9O8vHsMDKlv7WQ/Zn7
8OdVA6YHEjgu/N6MFIDYU5PTyDv6CfKxwGFiT+UWfxNqqu80VhH3DqehaxhTmPHpuE/2v/56f5+Y
Hnz1JZNGBIyb93NlCIIlUmVCemu4BIsvE0YH+E5FQy2vf30pyWLyfnTC3Wdm+Ut279+SfkLtdYUQ
vbyzcc24N6qY3iO8LzaZcMmYnlLbfh2Eu8xOgVFG5Y1MlnPAs+Ig+ZvP/a8e3ALUsBw0Bchy3i0S
pm2UQY0G667vaiaJDQG5vDQBGoZVUqTB/8ckWYAX5iX/9Zz3MSSyUpg8WYNJgcBeXegYoxdKsvKi
90R5kUNyPVoDyfV1nTDKg2yW1/kQEJiulcQMTqq5vDDcYbqPMADB3BNX8ssuHYKtBDm8jeMBbgZ8
emaZgxRhPAWx6LPdbz7gv1heUFh4YDRsFfjZvjPeVlkU9r4O5B2UBsxsMR1oIBczbs69+qbBPinz
R5ZczQvMffrecMAIdG+JED1UOud4kaQ2CdvzOGPmIkNc5/yGHvOv7/Nf3SbNTjhONjdLtNTPC5Ix
mf0A5VLe4RvDCzm/ZiRQ1YsUoUQF3PxuZC876E8jG2N0RjV7LhAZSNT7K+Yd8cci1e3duAS9Ox0J
3mEwLf9noZY7c29J4oO5QKp6SO9xUHRnIQkH+IEuxzKr0N2bVcKwUIIVgIBYXNVw+7u0lzFxfkUt
uwYJVQmxZkQLQxiR1mKEmdhH0+OBiC0tL379GnmC94/Fk/CdLUauiYRm0dX8uJvNfhp4NV66dyWb
0BqlAqJE5RnAzlam6VoPMcI3CDLkP5qOkUGYGODt74KYc+Mq42cLwr+RvJvKJHIy77zdMEdGd4gx
5JPrQkYE3HA2DueNsGBgE5k6Gk+VQXMO1/iybDhJ6NhZ0xknkVuYgplBi6ffsgVgrJuqhRTsV8Ud
SoD4wm9zdQlJtbweVOgBgMHRpHeFS91HiYbuRpY6+yLAFjcZIdA4H6InqLi/IX7TDrHxsMliAvY6
9u+TCJwcFaSlqlus/jgmTzFkasyoW7rbHkaLUHA9o3rui0wRahR63kMQ1DHdDUTJ7oqefE1EtRM1
8GTcQOOs15n+59rIaHwi1O9SghJnvNNrOB3N0ax1YhxDX9qX0D0ghWFUhyg2CB5INSaQwaOp1dwZ
I+5AK+glhcN5wwSLzOOoqm69iCz6NcetONz4agyeMTpg200ZI57umXJuqYNtncccyykNgq1HP4G7
Kx3ntcVkN1mjDYbTZC8L8VAxm1scpyL0mS3GTKFFiLAP/ZaDIy4c3qWPoW7PzixjspvWc9ELrzpZ
kVD6CvfB+tKY8C3ZRbrMMRqqkgmFaJTA90iD7otfpG7JeZAscZGoBjF3Hl03pt3smiCh41tWL6MQ
80fZ+snJHJCfYIRuftb0SsBVsAryAjPcmTjVfuJw5XzkFO/QzqziNwbK9DXqQ4XfUBwVG9HzedYx
juJ7DlDOJodyDh0hygUC77CYJh97XBRBBAi82bVw15OTRNWj4fhJejFg/5vCBiqyIH/0iMIUAQMg
06W3yb3F42zVaVzzXVruThCa/FWaI5ZKa2SaeCqhUDKwoNxgiBtUH414cC1uN1VFs9FYsfo7QyzF
DzqU+zJNedPI5ssLEcG3YLU3YGL5o2dt22yEPZCTY/o0GS1f7ByknmuNHdXg4fi5CkrWikQzKpEx
EY2GW0LNzwAgqV4C4D5sr+XCFkoUvUchGh+jUFydFlIAnz4dqhd43NFdjwS8W8/atV9DZxzh7Qrq
VYQrrEb56LxOJKQ8jyZUunaGiOf2LguPzTrk2TkcoSauMW5jhvro1yx+PFwFbo4TR3lBWRc+93Sk
NykUigvoFeZjLZzlN5VZcNl1IFScVL0QqrYdEBAkYdlgBIFDVgvuROEDsZV/MHspVDt8Ru3XxmSn
XkEF53c0ePteAzmyxMC98i+jGtuuwCune1imbOqJwYp6XiOp4fzL0GET9RQUHdimLar+5VUugNxj
2/b87flucQQBELOQL9yWlJ3mqncSfVufa5E0w8X9pshTOHHRIK/7mWj7Ac/IC22OsOEkroGmqfR9
n3DcsBbPYaAjtuduwnhTL9WjNnn3Mtc8FFOSK6UxtqdJyWBQy98Nja5aGrVUnyIdnNezuCNYyqMq
Y7fFiaB+QZdA9QsTTt+fC4U5rQt9onntfj++qzbj09bcDOCMwtk783gXBIkcQYrFNVAdrcgyBM9o
cP+7ZBjx7c4OyUVZs/G0JdYOIXcklKAIL0sU6Y5MqxcYmuzmOjWNZhuSifLqtvPi80ULujzWbcOd
D/wZLDzLUU+XtdFgwnUucLCBD3AkV9jJnQ8/1lL6ICdW+SZzIE2sbQMfXfhT7gJ3OhqGZu7Yr7Fn
NdmebYcbrExaHaslTFhtq1yGnzMDw5FVcZ5CMnTUtBsm2pn0QYToNs1459tj+5YFLd+oQhhjdvwy
iCQbcGFD5tyUy1EljbHhlBohDMuAdaTNOl7DxfGOPE55YQ0GvXvd47lgxBl3O/QJbmEjO263DE90
5vJaRIqdKSWfsNmqwZuQYCiEydWI9uSQxyFnQAnbByQppp289fnPpRk6DODOTnlnnfRhqA5kJKkU
meS2Q9K5tCgYI1mcOa/ogHinU5Xz/OdFIM1obuPMyFvJAE4vXe1YmGIwwyp3uXw+dv4aZwbKsU5W
L0pCMMVuB2oauxQ2UBZfNTFbnAvZyHkPIyVogEP5s4H1+u2kI/e18Tvmq8hyOmrJDCE1cpjxTdNy
J+eRaE9EUlyMCUuAIwHDtphCsPjYhCZCT5hCczz65fKBVG2zNJllWB/yBmSNjvQUrDqOo+12dlF/
0slGXQXvOcoftFDOK86f8tE0fM4AgeIYAktTPo6oVKBdm1oOK9Z5TId0ElQvblQx0Ws54hi5PCE7
ETVyu5gUNMTe7s8H3nk06MYj3H1E32k+JizdYjVypH3s8YN4LGlxWt/psrO/kGLPFeN520TLwoiq
MsNajP159tmpgsvC9PHi7s180+DRe39+a7jLwhhUo8zmTbPcTuzyFPgo2K9V3zFfizgKLrMUR1Yx
a9ITPGu26AtmWGk7QHdvNeqNZG3aPqtj3DboNmOGPH2PhRAaJ6Fr4XPt1QedOFm+dYI+c+6nBtnp
uqCjMa+NRjivOIQwavjdwXOxgPxZ1tvHtC6NckvPdcxO+eDyp7M+NusHKcyRIQJ9K1/PIUsZDJ1l
7YPjaOzLSLLIU4pEy5HcxiR4DfhZXpxfwPe1aDm4D8pkXVgW1iby2HHOYzeMJra1qcMRYfIS/blh
G7o7j08bytJeAQTsh6K20yuv9xkivuibg+1gBRJDIwEtPw8IqDb+t8rDwXCdN0NzwGEUkdzSBYlc
sJTzqHBJA4f4BN/s2sWcci/rQl4rZ0Eb4H8mJZSLQsILcwpWIpxgjDVUbUCIxkHVidaFBzLGnNGX
NFgYNuiiiPmhEMK7l8Dja7yHmwNDTj46sUt8pczwx157Yc0OQziRtSsrONa9KlntrUTeIA+f7zip
M6gFkjlSHUcW7fMKaKcdIrEy9HjZWKYt2zf9CJq+3si0WTYgrOIjC8J9NXQsCsRzD+EO82CMkot+
uVvVd0wzq9ZcN6o0zFzMSnF34Kj2HEyaws+JeG5iKHDlGU2k6BtlN5NcNdRC88Mg/WQ6dP1QxDdw
Lmk3FSyj1w2+LxGHxoW1HCUlo13IcG4eOwcW+DYy0uD53B0q6LzxvBit3CIS8B5w6sxvgPy/xEZo
rNNAtThW1bTFMXK9GNNIfYvIgUcoTcsZClCRrofSYgJPbI8A9uxISwTBGiVBF1ChaPc5VZr3nFR8
0NIZ5wkhvCIUAFrnQEejJMl2mPIjWL+6suxWyjW7Zn7kZD8dCkmTd51VVXEVllb5LZgWar5rTiyG
FJnYz7Zmh7XT1HbiVC+L/0kRoTSvIWRz0CZBhBNMRifGKE1QGACvnoTVcDQeImXyeRryQUCq8JhD
SeFgKQ4COK58a2TBQbyIXn2gxsmXkq6OfRjuuPgSnVwb6x79KX4djII0Y5UdrYCpGsQ1Ik/RcHs4
9wE2mSX1gR2O3Ol03kxCujMvs5OU6deSGpPdJaiCrVr2cEkr6Dn0Q0bQ+WAYCTTrJ6ha1aLiZ00r
3YmwHvC05uDFZXCZBNDK4Z7L62hygmeJK+ebOWt/41roHziD8V0L12T/bBSbW59HrFazix/swJWh
IbJEkoG1OMeyYWJggl8mKggW9SrEaztv/CTfhBXw1TjZ1cvZGrvsWPeaminUZbQWk9BIT0aJ3D1a
VuZ5RuGOCCaOD6aDpNYeXNFeOFXPjOuWVriT1sElASlLhVGDkSzmtXla+PaRkHnhHTmwTd2h5Xyz
olna7Muu7Xf4epo+Z5XOeRWIIB4JqCwveGJWJXAeXomnDLaNMDQ5SeQuG4s7aJd8COFuZthVxwpr
1etmjpbl4FwyY1DzzY1MlMMBTZodGR3ojWBPmjuuHD/ShJ6ephhKYWzr5KnqEdy3zBBWZ047844N
kQRPDwYVMky7Mm4bwy2h3RE46G+txkLbGznGl76ynDcV9PPXjKryW5lNLeX2iEkadRVy8wq1kqQo
22eAKx+h6bjNpg/DjD59Xah6S3RFfXKsCdMrD8lxpNzkQ1510QO+shgE9DnN8LR1xF77jr4OrCp8
ig0v/UIuBD/Jwbe1pVJGKXSLBTUn1gxjcbn2OtHQwQ0G9+UMK/zPA+U3Hih0fE2Qqn/f4XnqXuOf
ejvf/8BfvR1BrwZwyQcnlpigLFlZf/V2pP2HcIWJUBPiItx3oO0/RXu2+YfANEUCOf6js3P2RFnA
lwX59M79oP+CuXUGgf7Zc+COWEGtBS+np42B6vuoeE7tGENoX18FxWzM6RoAUOtd7oJEYJdGgT1h
VgA1MqouWge1jtSasgyOyu15JaFiLy/MquSw2fccJxNJtUMgxG1ObxeSDNMhCX3Y96Poh/mQ5y7r
5L3h4TxcQ9oa/MB+isMpwC2sz6HxutE41PFKZKFxE+T2kJ/KRjUtIBRKbf+bVXk66Q+j64hpOEYe
2iCyhhAPK/QRfj08sI4J+8EoYJJsKzs27W2kxoYerufY1o1PMYY8IRhoa1cCRm1u0tXFfll3901u
c9oZs4RIAgiqNbWAtR4LN3yEcx4/zl1pHXiocpPNvfEZ58Lk0WeDRv2fxwoWj3PdcX45supHu7gM
+1cA+4SdK4fbRNIWp3mIXeuA4KoM+0B8tM3ipFA6EHOA2xjOEduRc0J9YXoz+RdrVfjTdRylg3FE
TTSyBqRGpB8MLftZbESUqkVpXDmmt8cwLqYiC0XZ1QcpolAuneZ0oDFwj6I5aa6qCRNPvkLumGY+
HP+3IvwnPV8GEtD0v18Q/l8GCvP645Lw/U/8tSKYwR9UIr5LQ4FOhrtQJr+vCNIz/7BB6QUeOaRk
AzH+Y0Hw5B/gxvx20F6H3scPjE6Hf+XQMvXZ8MH4WWL+m47v0jr+ERPndqiQsa10JSuSgCr6M3iM
ha7OMeO2v8a41CsEdnNoiQ1sTqPuNl2nTP1MQyHpdq22spwKGEeALySaV8WlRHpQm7vKWFzEU2iC
UK6LIMRebuVnsDieGpEbSlOvV+7srjC/iwZ0idZQ49htZb2erQ1nmRahh+dVHlbH8LZGHJeWE3rG
IYcWjK2DBGeJuYfNsYfoiSkE3ovKCRrEIhOEx10xqBYNiG5jHHN+032SSw/in6sm0mkSkUwJeild
1g3z/dspW1dStMzO16odB6qSPPJi5FzQ9a30ijwShCz4ySZF/q12m0Q/2ksztVmbcd/wPIico+np
h7F1+/3aP/Y/zb/dEvohKJa24zu4ZAfvvas9ZU552TbRm8QnNb2q7CRKT7Pd16CVMcILJLK5lwC5
gVlVfg/+PoEyr5SoyvS1nFqN5NXrCYI4ZWJoyYwg3XHuNzNKQPRuHTYB83PcuCHSVBfIyr2esVfh
t5HJ00IvElHbIyn+9UMtHYofXrMneMmOzdGWzS5w/5YYj5n7RE8+K74K8kDdB6dIjPI+x/l0vv31
hd71cbkQnmQQKVxn6aZyvZ9Hu87yOpiJAX1DT4VmaltxrLYxARHM8MnylH0zoni14pV2nQwlM27+
3nCfJk7xu7jad72o5U5gHi6dKGTg6OrfNW0IIdYimJT7NrR+4147lVYd9pa5QRP0BDIyO+5/+5Id
Cyf0hUIuhcdbePfshsRaosw860vW14tittYVJG5ERDhnjb+51rveHk/HwmXjAMeAh3XumT+/ZxO6
XFoljvk2yQhD76/mkm0QH8MK+d4JR+nlFWfaXUqJX3/gv40kRIW4AfA/su1ZdJde2Q8mBeCQbcMp
qP0yIYL0OY17mT/ch6aR8HZ/fal38bfYMliweHDMd+kTs3i/byeqspTpSIDIW5uhePMOSRAWTxnu
KDWmKEDqUXUzBXMo8ssygUImts4Qp/Ozar2qslZ5xoLI8VKFeXCHQSUx7ut4WMiT2OA0vsat1rYR
gP/6pv/2YRxfYsrnEeaKUOBvZaBEsGhOpii+0MpsuAuYL6n6Nkht0Kcpc7e0NmE+cC783cv6+4cJ
+Cqm68O6hvvyftkKDcK3qsYxPmM4KU0O1ygm+3bt+VXciLW0UCtlB6ZJ6r3SdQd33tRN0wSktNAo
Hh5JWBobfOV9GnKfUQOoYGdxGiYkFXgFiPQ3b8l/Pz25QQ/SHdMkWKQW77+tE41Vk/dN+Tn2E7oU
eB/obr5t3alhUM0atdqAaUzVuteGFSbMprawbTaDguhYFssgtSP9hQGYq29uK3gzbH/Af+TFSXJQ
v31fgO2wYnVBNxm5H9soIGtn8dtNGaloiFu+TtHAbO0ITJHYSa2AaZcl2mhjKnnc6ycsEXBR6KYX
IjYpIVaktoS8C+x+LRZ5WtRurXamXTvM7zoek+m2cm1FSOxIPS1X+Mm28y3TP3A+YpnD0GzmUnGP
0CACqNwSdu7HtC0rVWx7d8rm57mzvOFxaGp3uG8V/2RcwdhkBVm8dUq+mUlkDJemwZSk6OWsymCi
Ix8DgIMOrVQc7WjfuoWzQhVg8jtdCnt+S+J6bY7pBXHa3V03ejmbma4nxRLc4gxKXKWKAi5tJNge
xavZGperUShX7jVYTVK/1H7iDIfQHurkKrNBo/YjwpPiIq4N3Z9wZ5oYS5NPWBB2ytBZ9IU/tDGb
pUAjx19qP4SXfyAercNlubSLKk0Pfz6AgxybRy08QfjCRoiQ0OqVIwqGXztFyyKW5R62iNu6xaAH
33kPFgUGwxV+9H/9jBqrx2ZrJSQQxmjd/XKcVhY2k7yD3sIsEQy2gj580lbJM0Xf3yoiAKgKwH7Y
GS/9DCxZTwXWuWROyjhYroiTGVWbrsCdQYG1V/N4LPTLcCmDjl3LSklRarfoJ1R+X3ROiSm5shZS
GpCkwgZ8NRRBwKiJTNpMem1Ngh8IMUiG3q6LutS3ToY9JbCm82ngHZbTAJQGLReGRfjg46S0+E6D
EGfjMXSLARwnmoELfbTXE7LPjcZJcHkIhZh1uqqtcMCWpDTQpMXgjgOrwLaZ6eAsKsJwGb8NbT1+
FflWbQ0nfBtsfgpJczZTAazR51ek0YE408EvO25J8/T8w7FXy73Y/8feeWzHjaRZ+F1mjzrwZjGb
9PSeMhscSpTgXUTAPv18QaqmxVQ3eWrfi+lpdakykUAg4jf3/26UkuSvfSwl5+/QpQtWirP4vnsY
fOZsQfRXWajjNmxAi+xSIgfyPjPpwB/WkTMHXFYONpDf2A0Vd5AhjJ7buYR0LMkKCQHdQ64mUElQ
RXy9RHVoPdy3Yc1/dlZY8gIHOS2TS0JH6nJbd8x4z2cxL3rzSGmSPkFMFPqVBjjBh8LnQsFNg4G4
kTJ4aznDfcBoK3chbYJWzodhwsqpusAgzuIDOwGokZofsZhe1U6WCbXBsHOxvMMUlvA1Nrl5H6Ve
BmnUCt1A70xpiVx455sA/YGVt85OFXPiYheSLnSXkgFDz2tvnieWfyixfXe3kPhKpq27eWx8LCm9
AYpxairqx9jd50521Vj0MOSKWF0/YUY7mbnZQXKVZLOZNFHjrciVFfPOUymlMZ4VsYTwwNiR5Nl0
LqM93lMtIdJjTBTnc9LcRRX+JzUE0iZiPsc3M3xNtmzEbDdb5ST5TEWy7ZsoQqfoh0C06eyDnoid
vPegQJL5A/P7vjAkQFuEzXbmNzPvxPR5SiN6StPkvGgY8QlI4yOpF0+W6y0lUOPctbtijvW6NPtJ
soYYm+yK5KzRwth219lDL9DweA5bJYPs3KVNBXqQlsBEH6HvLuXo22y5ed31PKUavQ5nQTNXMC3X
yNj0Lthz81m5OGPFatiZCpCzsyWF6fhnSsR6XyrMoZpu6DvoiDB1+4TtqXVxHhzPVGqwOwzcRd4F
y1aSBTV0DIc1Jzz9bvbOQtqC7iEs5cKFM4PU89WuRZEbGgQj1pz1cxtwylcxhVwJ8aTUh6xSfcdy
nHxq2TRfQjGzP2BOYrhXkzkLatZsUR6Ekw5tYLpFtIPsB+SCDrFMYyzm71WIKy1Utpc8hF1f35yx
6Zwm2hcA1OhNJ2kOu+BEezyIdhWGTrLBqLaOt64JXPyObg0/Pms4/OcXMS5XHOQjXKMdIpWAFzun
IsLiwQRQ38Ffy7rKmK9mk3Ebh4W7ZJMOnP0GfUu7lkbIoWUxrME9dgIRCYwO5zIxeT8NkOlq7YZQ
7iwASYgxLm1kuZBEokIoxugWa/a/0sYuxZ1ZTeV9ZNvY5SK07zKcbet2oHPRDH37nbpQZ9BXqwz3
IuZKnXVTt1n3NWPPXfD5glP57OblIpis8ivxNC6ARq/gzzKOMholvS0qy2OLDwGdM+QpnUvfpN+N
oxcOl6KjatasKE5X1jld4KzYxqEarHXHMwJl30zgwMF71oNwgUxMBcxyQBxinOmPBjOM81UrjFl9
icBmund+iSYmwYaD4Srt3WPPGJ62yE0s7KTnOFEnKuUkK9fBAmQLm52sXEyxi+2F8t/EywG9UAGA
hCrU7rCLS5yNR4C23NOASRsOPl8Fp3JmKG3luMq21rPFDgdwL1HAOGjbBDm0hgD3nMQrkwPNObXB
/3ZczmII5ubeGq3U3sUtRilqpYJygRkeO55x3YK+dR8AxGOetzepDrbdNoJ7M91PanLUhSFVbdwy
yiWXR0UHAmSS8H3BiAy9ZKgRyg9Euw8nD9HKyhxQMGyozZXFPs4gagHFcsOqWUVF49jpOhCL7MJv
FhD++hkOM4q/TeGrufsR0bTEkbUPGMVc2Y70FM6Ucd15DHYUplf6+xhJt3+JuMcoiv3gt4S16Y+U
uT8VWesGWycboIqnZsx5fEc5zKkJmx+TA216ib5NfGJ965Yue4PyYMT3mmOprRwsdx7G2Wtbd9PG
o4hRb5hUB4sDUHyPaCxmpqbdiWnWsSYNgpwIit7FoI+ViI2El7uDlMxZywHO6wDuWe9wlWfqCBNF
cczUUz6X+CjqH9aO4dnC2DohKWOzA0ePl4L3oSRUe4m97Ocg4DN3vdfo6I8Whs4cgtxauNqZcm4Z
7fuuyvzPXi1rLsVq6WVEe2SF1BpaHKzZJj0piey1eURr7yHOEQWPJrGbgU0S1WkshkJs5cYzhotj
QEtORXdkC5PZX5wDcLySkKi2ybONE2CIJj+UuARJB+AcrITYECH8c0YjGHcJTVBxKm5QWwf65AwZ
x+NKRZIGfHfPTFZD69X10P6tGzShfJgJkpp3SeI9wvXLKNf7ZOEGJX/Fzq2IKwLTKi3xFIlIx6tR
PLDbAEUS/rdxBP9MZzMP6vOkwXkCM8C21bFU3QY6ZAGcoe8RcyS+sn4ydIEWdzOW1gC0jvOQugEq
m3ji3kYmXfDqgj181iHSS7nHp9rMKfXrBHOthvtYNKauWPjRqK/ecmDjGfiUMsfV7Gc4m9T2UMwT
uIacK1xBL+F2FIe/7wRm1nCA+9ZZiEiRtvOJTaV87NAKq55hfRMQ6aXIWBXLzaum2PuMRJfa0+tj
5MC0rEfSv17dh12MqmHn5LXFM+pRjlnisqbGDfcUMyozhmmO/2FeHFL4JtV44hKODveUynUUay1w
0qatgOQM3bY1MdCyOCjpreOZa886kQ/9jsVSUa+z4E6PpgjUxqU9S+BsxzqaH5pWCO9gtokcwutF
pXaTnfsx/k7iMC/4o8mt4wiTnzoUBJn3JZPdvCK4E+mCF+06/kI8uDpQs0pS46wDWYG1dNxnnQ0h
JiiJs5PX0zUdgI3TQsYulRfKcVqiQFjpOt5Uvl6PcZljU76GukaqTSe55g/87/pvE5WI5Xosw4Dj
0kq5LnudpoEODcGvJTqYd1p9ta+vR6E8nkuJkyMPVUg2vurcgbiUfB3CMaErTC+pgIZXQeJlmWYz
MQH4GuHqtVvWQMcvqtFKmCJLSpw6+lM+oHIIasdm5tn2xlDxXbCY+AlmO2S6WAEIIN9EiMeG2ySI
MvE0iD7D+EwWfavYXAArOufuaCnIfbFns85opOokMG89MjbTAmvBa+RGhJcknjxnNXvLfOagVZzP
/CCap2E/2U5XPA2pNXFTsJzVkY9MzIFYQzah4NcC+ioIDH5lxOGC2/Kwm5KELs+2TjqHP8EEpnCM
YNSYvjtD3y3XpgECYI3aMSUdGVKRgEQN/dbp7/2ldIDkGaPF/TfwY9Ixux/qKAwthk7yg0joQD4B
WD7cxzJOeGqqoqDbbCYc6CKwc4NXE6NEXrM8ctf1jrtYHTnvSRfgcC51/sBy8nHx5IMEFCo+FiXK
4B/awJtUih/TxNI/WKEFwGYuQuKo11cPupAOrUqjoqWNVLMpJYTcYZB6YdSjrh8ZsTPrJRmY4Vhf
mWCX644bsuiM2wMQw40cLWxEETE7Y9Je+H7hagE6NJ59nNZMdiFAWORJ2E9WeQilTU7BwWa4xAfO
pOCj73x0h3xM5CrBXpV3tY5EmR5iF6dj9pI1oiDCReCkwxaOTYqAv/fXksqVXW6jZNBZ4GtiUcaL
vuhmmTR2jrdspn2vwoWM1x3CnIVOkmSy+se0rnmkmQUwvzj0DEmAl6HvBTxmy0CpFiO1FEf4i8vM
iprtQm9YisdowAIoJBblTAdncqEzkEKXenKaSWfo8+vOAQdCB7qVVehV+X7V6N/UjBiZYaKLhk7A
oNVRgRVkALI0zFG+TbHSeeaQGmXqbQwm5stoJZl15ZG+/5XHVTXKVMwzeAw1uJYdEji9LXfObV2H
pvLVN88fdffmdWngkKgru//0q+hPE+M6umFEa+qosmqjYl8GqhPfMjfW+xMudg6C6InNmr3r/e96
qQb+3hCwKB0HDP0w0whn5I+ulDRxt8QvwPk2ORXi+LM+1R7Ua48Bcl5D/IwhJiBLbNg0elSikiLK
UHZhuW6VTd5NFUJ3NiJSXr33vO7Mv3oftUh0ilAHnuRMgM008qf3L/+PpwJ8i+EbGr8O6ThMlrdP
ZRJ4RiZj4D0Byp64Dg4onRZyuJJCvf9Vf6w58L9QXZBNR9RVw+N6N2EULsQEUE9RymDcfIhnhgse
rSXQr4gfJ0wOf/DjjlsoFg8GCI3NBB4VdrQ6b3+c6CT8X+r3T7Td9R6lUDgv1zDu9QFho+6cN3FE
vE8wMfPnH6UdmOKK3a7yXhvS/3EU8Pg20zX10FLoriqvG2Nxb68ET85pwHPe+UpNgtQRnRJVKrCt
Op3/Z3fZ9vA9ohFrBnwbxbGjJmlBYBg6YCi/giAMigvVlvqAyuAicMij0eSsff8Lj6YcA5sRQ8rO
NHk9OnyUj97+NJWHC5vJLL4KUK2sIAFeg22OTRF0MSS+rkQwmGZos6I1IC/0mB/1Uf64uT6LWA8c
Yy0X8NPtt1dAlqjpbUH9lXmZGcgtvawFx66uTqN8/xq2DCLVoTETy3r//lUUN4AAkF4A3cd69mR8
vTlVDh6eepVnzLzFDVIVsgW8IGqOBFmMr5BWZYTjCtdvxW4djJ4+LDHFAVG3SWNTkyMcdidiERX0
FI+sUUwjGIKCEt02JJi31UlGaxmfvKYwdGwlB6nDLkOPIlBGzjp9nPttRmwTSEcf8S3TZlxW8Fqg
l4T27JpFYeugKQ9RVnG82pYOluMcPglVG8y8uP9hkgsqk/YwIco8S+uCsuz7z//4tWbfs5HqoPuB
x/Dn0u7JLFIDAfKXJu0cYlbk0zoFihalI4BfJev3v1K/Lb9vuXqrjV56NCFagOB4KJlG2aw6GY5f
osTXNcY+i/ziArK4XRiXpjS5Arx3o54karJiHRRiI6Sv5v3LOP7ljuO7JjunH/GzabwfHaK130Hv
tlX6pcCesDrFVEZVD3Yx2uLcluqDWdfjRe4QnOnBWtd3QvqVx2O1PiIa6N5Sfh069KyP0CL0ssjz
VkdW7/8u++iV5tOZ3mWm1g/ovCHFOvphyTiZZVkP9gMO8iaIZMqXWDFh3ZCR6Wb5yOmwouFd8f8C
Cjasy0lLhgmFPbTWLWVdSjCkPLp/344ge6gjLK4O1LOEDAVSE29F2uSpLmtNhi4DhArtd3oyhL4u
ExcV3ZH7wbAcfpxReJxFSQJWkm1lYJaPrMpijro7MQz20XIHMTZxL96/CUf3m3sAawPYGZJQKAd/
dEw9L1FR5SPH7Ktcn8xxQ6uiWAHCIHN+/6s0Hf/39ayfKZsXrDGYBtT1j9fz2LTUVC03vg/d5uW7
eo/SqVZL6aOJrZ4t6LX3XiLS4S7UU62rpL/+JIZeVwiM0eTmem6g65nkgi07nV0xaDeeGKBQjeVc
8qr6dLBanCP2jCqRMG0LWI4kjYyRkJb8avzRLdJNJINxI96dJTRx7d4NDf6ZDuMKOd+C8y/hcPBa
mhisUdd4DS/VTzK3iFrGVTCw8eMbITJdWP7VQuONZO3m9Dw492JcA/nA2apGSiDv39Lw7eMLAlgx
gbZuY66Ss/CPid2OX4BovY2/l4MTfM5F7WEGQnv04Bdh61LjT9UucacITHpWxpvWhV5W2UX5ODCs
BgMp7GuapokD+nPW5KxUdQ8x+au8Rkw7pOs0HOxDFuU3Fa2270PrSpyEBHMba3o5/tXgxc1Zig72
ghMpXfRk1lBsDJk7nxb6yMNpjLM2XP8yMl0mIr3i0VgMrMgUeCucHyNx7XIqMX/HnMhFMAtM2FrM
MuiJl4/wW13U2TZdglyzEDhERlp4yiq/opqAajm9iPaXzrQ2TiuCe5vz+alN8R3Bc8pPKWHAddnb
eV3fMxbYP2aOA1I1NA233hjU7b4UfcSYk9GKO98FEEhtqj/kU5/vaBPMLRhkmssQZaPMWPVuNZyW
NbzxMRoo2KR5/qkPMShehTHMKaYVmvsF17MN4ScORbVhuGuUpzeuAgtvz0p+hcmD3rL3+nU6+dVZ
EcgMK4I5+2D2+O1mzYKgrcxm5hEquDaBwtGeht1OEXReUj/zvJjsseMalF/ZKPSdwvQfPlh+b17o
1y9jJB9Blg3NkK98G5HEi0toJ6L6GfubCo3QZN5Dy7XlqqqKi8F1evK/pKluaBEGxQfx2B8r/+Vn
otWhZcMmfqwD6z0ZNQUm2c/gi0lcHZzXgIw6FsK393/kyyf96xh++ZUI4BEewEbhQD5OIie7KuwB
rcyzNTa8M47NcbFqSHiyDcOtwS1A8vg2kzFOVWbpRe3GGVr8wdCX4kbAHBkErUz5V8IX0WltdMED
560kTupLhdCX4MVWdcUYl7LcGwbc658VTrDnNeXZm8Ge7U9RTp6K44FltuukSK6cStPwjaDyqd4U
9OKsMaKwJqL5OW8SRSuhFzsr8cwnc1IMJPD8PoiFjkR43BIdBhAGcV8czujjkMAyAjm54bw8u9Bj
mbrKnHTvNHl5mJbpqbai8otjRNOmtxOaHh3q/YNbz169ef/JeHoxv3ky8HV0VocYEOEY3Ji3688q
4or2QRo8Jz2NA8ppolhNIciPDcSnRW0Gt5oOuAwyDIaJe0W3p8F9kbrVBePag4JcnRhXi5XA2l1m
Cmcijr7i582cuCiMi2yug/PZmfe1Uzn31EDLq8bgoa18GmPzelETbZe8kfE6aKPglrBxaHajm/2c
/Ty7dALGNwoqxYcswVah8lSpSVGy/zaXaf9gQki/MWoguSt/ssadY6uxXzkiS+7h4mIKnHbMYg7p
ZEWrQSW0AJi/zWmEcCbegUPHASSd3U8WVe14RdMBb773b+5bWRKPmHsLW5QY1CebDY65Gz0lYZ57
EDNe53qXBiP9j/h0zKihuxo3NkC7H6V0R5iTl68kNiDFsWzmYZCrHT1OLEJExdH5I29z95SyGW7p
cT8bZxQq8x2NCMVODxvguXXM8jFLJnWeZZF5YwyRs/vg1/+5tAg12T5tsF4ocY/FgGKsPBkmkGOT
iQYDeXsTf23EglUD5mvMzpt2QYWjavRINQ71uAqkOMlg5ZZtqJNEEXPCBrwd0fjB5wzreF36pYRe
GzK9KPxMHjrHmS79Pk0wSg8Sd8X4iz3CEYbcpxXyGF8JK8SDgdmodo8fQLvLC2VcgILVEvoxMM7x
QZyv52nkOMuZ/sJIjNMbW+usOMcTlBa44VRAvcuuBPA+jDk9XJqej95AakosIu+UPWGzWZWOYNIN
uQwrkXbRGvKrvHaiDPuwAEXdREeTvpLyS8z9mNJpL0ac5pmzy1ofXW1oN9gxhMEo9iYjP5+UaLLP
sKHVTzezsUGUQCU+Knz9uf8ELnkCimsEczyf4y3ZsemEFtNY/AAmZQaraIQHicpDW+nwyMipgudF
9vGJXxvf5iHHDRomX1t98Ir8uwUbagkyRx/TEtQG3i5YlFISemFQ/ojx3+g3Lw/EX/q0xJ7HVztz
GaL7TtT9bvbTeNtG8fQlDQWUSQj/1v37K/aoQPfy9oSuri2zdeiZlqPDeKn6cQA5m/9IAtO/63xL
3oLwMDYBhd0zzsX+si87ddq6dXVSTo51oeqAgywo1XSdgeZAkFyPw3lm9M5PlPOdtwqZrL374Crf
5gD6KhnCcTxecTTTJJVHtwzMyVxFndv/oOrdJQ9EFhgCUEmcVz0T0pe2PxT0lOTih5tQeM3PlKk1
jFhgNY57J2jkoxeVybkZjMWDLXAmXPecAszfiZLbneTBGuI6nImXq/7v5NX93P743/95eq4yAC04
EmXf1e9TEx4hz2/P9w/z6fVTmf1sRP3WM+313/p71oIRK4A6wIReCpQwz/6etUBT6v7l6pyF8gKz
GGDQ/n/Y4mX6ChAIZTYrQgehJzT+xmfbfxHcIpAKGelyqMb8I7ze0SvsmVT1KJ6Tj1KzZAzL1fH0
b+pk8JhNC0xmuqyZMN0OI+rNVePkhKtFMA43UPLn03waiKJNs1BfVOMOD4Ur8YmXUd19+u3uXb9G
Lr9PElhvKxIvV0OphbidMRIOX1+Phvx2NQRJSMbSnvdAj2MnxcLh3geNTxyN1TqRwOj2X4KhZVpZ
VKGe389fYLeLDNx1GAX1c6SUecVnpP3GLkvrgQJfaO3Rzsc/UBRb0wfn5EsY8K8Q7PWKCbwoilG3
wdnmKN9w9c4BqEddOkRi8L5RcDwMRGxo2YK5wWplnqx8k2FRAYuEnWiF5Y2zr6B1WBuBqvk5naRk
ItmANSNV1gwrVWlcQCC8ItnSqE+vSdNOKxlBMtLgwkeZdi8U3WmLFMG/yPDXqvbvP4c/HwOVN5MD
l6o6iuzj2CeYjQTwQSkva4wQHvH7tDBUKWyWRluDeKOdH921sVV+fv9r3+ZuaJsZqqHO5xAp0rSy
HX1Zvz19z5wSt5VJffnCFbKKtAeoAYs6jNPH97/p7S78+k3YY2qiHOh4RhnfflNbu/PSibS5DFsT
bM7YAAuJFaDiVdGmWxNrt2XtmDPxR44Qqvpo0bwNrvTX6/QBjT4VEJ/d4ejrg8DJYA3h4BZ0hfdU
oRN8Kkp9Dd5Sya0vmmY1mzx6DKo7IPZd0QQ/FDySkzGa3fOJVj4tZEJvzEiCunpwBEPmmzSc5x+t
MbQb01iqYO1FjUv73eFA/ujc//NBUThk2+DkB+9FDebt7TP93qs9LzYurD6unlB6ygSj5EIBCSZC
rpPTEVXYtySM2vNp6VJUae4EocIagp8Kv5NmPacJJxUqlB+ZcIJnLP7S4IMcjWImV/H7q8l4AsEJ
kyw6b9VV1bdX6TNebopUORe52+mB840CsIBjyeREO4VZy1pMnXmDYxz+XikSh7Ww6j1N53Zfuq29
Lsquum1LdCXECGPyacyr5mSWlOpar2sfEBhRMiX7QGaR59kqA0k+wsiX9eXYGvIKzz4oCIkV5Stj
iYFI2ENaHaALlbd2nlwnc+1Mq7IPuksVd/fKZsxmg6UYNzKbbfYGt18QMo5hfk7HNvwS45l1msJK
BWSN6Hk9milDo9yO7MRAd1etxpk+g4XIdLPk03cqjequN40gXWH2FuxwPepPIKfb911qjWjMAsOC
jpQW8Teax0KjCzvjaw+latO20j5Bot2eWF1UPmekirz3TlXcMU0yAV3v3ORU4Gq+nrkPe3Lk6Kob
qwlNseh2ljVZw7ZEwpishzEJu/WAv/W2or2x6dvoCqhNYm6YqFUHjhp7XNdmrsvCQfkZwnF6ZqML
ufMc5e37KDfsnfSr5Sn0G3jpJhif3VCEyc6YJvMJGdv4UwIyw2vFVhDb4BTj1jypvOHlGMftnAx9
iGV2jPmxcqpDzV9dRb4rGm50NRDvyRz/6CAembWHo7SsgJXEawfYdbUXfrHFoGc2b0bKAAQPuMtQ
hkfwvXOogcn95ATTuV8sSxnf9GOHagWuDNpk8ZzGqW0vX+RoTEGFiwKyn6L5bqN0VWQaver71rxU
haqK6TTCgnA/RKi5TyqclABra9NGE4/zk3zGSHHd8wxi5BZMZvG4gLAi8Yo5DxU2kN3WL8bEXKMK
seIrEmaY9IdiDsZ0wyRGpMiQlMOKGuPGwqW65yzc+Uaax1cDr46P6CFsQxacU2ASV5eZiEiWOLzi
LUwhf23ERLAe4CATZzvSfPgjadSP8W4sA1AwEtV8sfNqTcMIF48ds7ZBGQGX07ydQc6JvJaZUaEQ
S7Lwp9EPYNM3ZmOrfeaGfXjpGXGC/YsTKIRX6xoZxDIfJNPiIsXHIA20V9cADRYiWZ3t5tKv5oMp
ZdWuPSSz2TqYvBmz1gzw5ZrHan+ixIHfDe0ceCn8n2lclblpSG55XX/KqyqqThwRqXJbpMq/XXrg
OrtcgzvO0jGV+PIAcU3VPiZDqe84jB2mpBe7oEvOFWwbVSYLVjsTQhu0Uu14UYUzSxtj41ZsYgvt
kgCtXG6S2En6TaB58qsskJrTtuQOkIbCifxNyAXghjAj0T1hTJuORxYU/touUH1tsgar8aWPC48O
hGij6zwec3eN5hu2SUVR3TgzIertrDZOPC43CtqtRRG/wROWyc5tAcwPm1P+3sqKoO+zfBKno4ab
GS9tcYPu7dzMxgoNZ2hfWniyYt4TDq7h3CO0tPtLv41mZIRRpy68vuZISmRQ8C9EkMOcXcwUZw0Q
qazTU4h05bSTo7dkZxZjGfdubntP3qSt1UOLxYuz0hSAo/MX4CcVFhYgu9BU4fg+xqhpmJApRw1q
zbFruZPIRb61InUOQzACDgoLD5wH9r58jlc2CGJrAThtmVrHvYHUYd1bSgM/RpwBQoriM4QbBt9y
jIkmG4RUHSRM8WYGkJTa7PTizHPNASxlKgFVudB4zA7azCoday6skWy6Z5xg8HhC4FXbil1SbEBT
T80JQuHYvs5FXxS3dojrwMnk0h27gPjIB8QafeUhGZ22zVjx1U2zAN2jbKqWvVkE+sfrSx/Zn7gu
jc5xvZpfgeSUW6VnL5g9KwZenbZEunRTi4BXHkAUvCL+GXsqBdL0qqMor9u/LQ73Jym95v6iMmgV
rjKz76bdhFIAxsrQQaDhz2BS+EVsIFNk6TiZEutjjBPBaThkGGaGKaSU9Quwa6S8hxRXgNdx1ARO
JSHMzc+ati7yu5DTYi9r07p8Acgx/O13DACkmX3ahEnUn8VpkwybWdAjIsCdnX1rc1vXZtDN3wus
6q+nXprNoTPnofg0+lUiD3jXVz/nJdJ7CC3wdEMeAB4mo5eD6SSA/0+GGeMaPLYQEgJMH7ezGNPb
jLHns6gqcm/j2cJO2PZogq0QO0SPIjeGZFvaNa/JggwtOnHrxup+QDABcBdaLKntqHfsbe4Z3NFp
WPBzx8u9O7NEbyPwi0o1cNI6gwYRdflX+CXRvcGAjHW6RAo3TiUxPUalZQXDSTbafNSEpRcs3jHB
ZqHlseB4XEQ+JZhhUBfTHJR3+YAMKAzkgTos5sALsxj9ukBJtOxbhGzNRe1P7rmhTLfZQvaphrME
mTHDWJ6s0nsiEflsglfDBSzI5MD0tBwlxZ4h7DgF5u6uTDor+2w1ixMCGCMCmx9aBNwRHybRHaYo
vpNTI27Hb2mC8HBdBtgNnFAytG4macTLXujZiG229CxSWty5cz0V8CUvK78tKVy3QJWR+abo+Gei
G7kFAslTG8M6Axm0BBV7h5QU4CeH+Z6htEOxX1D/c6nuhNHLHM+mxC1O+t0n2HzWfY5OCqmbyOCM
lkklr+uotthg7TbCHRU4K87P/RcoXiOuTUUxBA+gwSFLjbRp3Qs31pOzHf6eaCoTVvSWiixPk8QB
aGCGiUlzHog2da5tOtv+CWMKEb9rmozkohAGpCTapOwZRGO9usCPl+sXaDh3Mg2LdEM73DyZmUMA
t+n7AfzfOA1e283/raR8UEnRmQLp3H9GVnyC65rVye/Vl1//zt+FFBNWjeeQklJJ0Wga6nv/j7Gx
+EeatafdxBxNrPmbYuNBsaFRE/pgKwCV65b8rzqKa/5FYsDgOVo+k0q39Y+86N9242DZUMfRzTGP
og7D/M5RGSXuRyvz4m687KvnRJabtPz22934N6WR45T8+Av8t8mMmEBdtBNfEBIup2G16qOnbLjM
IuB6z+9/1YvG5PfEKaTehKMDGDrSpj8x2DN+kqXHWN9F7pVwFdtVZZCx+/OKRlTReV8ZfEtChB2M
/cDjpd9pLGQiHlzJU+BBXVI9w/YJg+Qq6d3UjAIiqkRDpOr+R0ZVK6vOe4FXrntm+u1yUjLIEAuI
Nibaa+Dq8f1MkJ3bmXcqVW5d511DejXjzYKFtJb6gk8TnlrZA+NnzKMMDo6fkA27tLjrIhuL9zVE
P0jXjPGEFZo4WFhyVff2qbDa7IHIuD8r4w4PWsSj5bjDHKd0qrNAYUrjTf5yGVqFN341Gig9gG/0
HqeYDjJfMD4uw63LGdMKGF+jw8jceovWPY5gBitc1aaYCEPgGPbyRP67a3ywa1Bg0CKZ/7xrHJ7G
pyz7fdP49a/8vWl47l+hDnzoXr8wa37bNHzzLwS6dC0QW1G60xiaX7uGbf9Fb5dWHJUaF5ZWSH3j
165hhX8BYIHowIIP0Df/s+rrUYlClwFDxvk1hIBiLu3Go20DyVm55Ewv3UnZtjDHKf/MjIhyneul
BEncuom4SbNSfG+Dwr5P08K4xRiZlqyL4cK6zEJvXcrJZzYI/c8Gd7i1Yi1uvWlov6Ah5HOw0uSV
ARSdEcHCXVlRaYTnm04cu7S3ty3ggnPbQCyBv+wI/aaY9409F7c6ZzlEGExhSGb0PzSji1lbd3Sv
DIyEryYSxhLeqBrxQmznJ4aU5ww/aG7bOoWqw9FaiGUXlCaMudlov/V2mj8hQp6viVOsjU0O9WUW
iwAPj2Zj7eAs/WMQibWyWxjGCWfATZL6N4T5GYjvUtoPPUZJxea39fJv9tUXjca/NruXR+D7YcBT
pXjKzndUi6sQrOVGLP27RRA2MkvnbVt7Ej6Q7IlGimN3KiA2qqJrWn/2eQ2GKFu1fth464yx2P2S
0lhEltKcREs/XCyxl17acCGf6UMan5jDk1DJ6Hx6WZ5f9J4C8x2mqnwk/Aj3SSpaUK5OcxWG4gE2
tXfw2vE8SEYbg0d7T4b3nHd+98FhEr09TfjR+BvoBQwTzsSB5bhx19J5wJqOLNdtqviLpZ9+Ajvk
M6cb3GvU0czEOuIEhanauikUMo4AuIQSJ9wLuAXmt7awuA04X05XCRMQ+Oc53l088986Wlo/GFC0
zhLDHq9S3GvOHXy9rr0wfkSKZe+jLCsfGRkZ1j5oy0NWjzWYIGHsi8HxN3Mj1HYxK9a0g03dmbk4
z7Xfn4/Ctg5wmLzDHAr6dm5MujzNxXbyRntrtlG687IvJYHkqes243fYcjiuKWf83jLXf8LgqTgI
BQM4xvNi3Q79DsjCdMtLWVwGA/t3Cff8UDjPOD7mAo2D8OUGRizzy9gJr0HJTf0mywjomyCP9uYi
EK5kfUiiD5mXSRcSIwTG+UWVOt0542n2p1nV7Y+QMiLcpVGAdqVz1CERCSwGQaQ8RFObnSEBNi9e
csiwtoYL0jJ+nO30xNlduuSHWaR5tF7cxL6FGDNdSWVxQxkM3iHmWw4U/Hg3jWLBIGmUn9xUdt8i
VDLnLhNWazOZpg8Eqkd7lke8hH5R60W1xRPCp6OyKgdsHCdDYNym+MHdqAgFncFsxCOdeEAJQR+t
iY9YO6JZvo92uKylku1MnjSnzzm4vssWf8rTTpndp6Bz2w2kanNPJeozTgTFpuv96qHq+JRigKyr
jebqfcmzP29iKF6mogYjvWTagoW3bydTFO4K4VyEFZkxX2BlwHgu49U7JidtvaE2xanwWmVtPWXY
W50q85nTMF2KolluXpZtm3eMThEmXIjOs86ttolhaYbm59CoJOojS37CXqe7zGQG2LJqU3QNuMRn
32qz2HeNMID3YeOIGrzv/T2dhSLYFmEaXoUm7Ivt+/vVS0PpX/uVvv1EZiGtJh/XHwS8+tX+rUky
dpbEpFzEt6SHvrFRFsPis+iMu3yJ+AVWboNC6KRxn88ZSglvaqP2gvnLdNqHCBVnpqAn7oxddvFp
CMr/qRh8QWjXkW4DlxLxF+HCKF0hRrFOuqw3/mnzgx/g6uMV5QLnMnMMb39AvRRSWNT/b0t/UVsU
F9Nl1ybJrgPKIVayZp8hkGa/sBmaWtWpZ2x9ZPlPoFi9M2v045+8ew4b89w8OVNgnfsMzp4yE91D
PS7D+B5ova6r/B9757UbObZm6VeZBxge0Btg0MCQDK8IeSmlG0KW3my6TfLp+2NW1XRl9Tmn+2Bu
5mKAvKislAmFyM3frPWtKi5c/5+/+X9h8Px882kkHBw0rO9Zlv7ltUs613YxpXVXD5ZFEEvXRd9c
zWTyYlUrMLmky5kk2+m6cMZq1xP5kOJOq+yD26TjsS7dNJCe3h4KS7aH2hHKA35Wb+dJs8f6K4bq
enE7LEA6P78sMcP7PS3/Nz5BEh281HzvIjkc1GVxR+LYFwjSpsyrnTM6bdBk1sLUqeUYGoboWU+0
bK+4intkyKJj0XfsbdEZ8bYpkumltUlnbOUYkRuetJulciqmaLo+fSEa5bzSS5N5Qdfo2mYxGshG
dY75vN13GNiEb+RNcyjMMXqpHG51agJwyeutRyEcf7YR0RWMpvmfAwzy4zK1+h0wJRQiZWaMgaeL
5FNtOkJk1SR64cobv8yiXE+Q9a3JnOg4pBWJlOoaPGaWnHxN2qr+jBARD6i+xL4p7PSHU2YfRs1S
huTZ6YAevwvaVietwyTiHupPR+JKMV2Q9PAs+ecXAkUiV+kvtyEgMWoGzeXMXsvBv5QNnNX4UpFu
3+FJ6Z1gVrnB/J9nMxBAsZsjgVaNZQdMdXJFtpRizZut98vtonEmbZh9EM0pHBrFrDiKtOikP5dq
CuxaydLSj+Nq2zMr5XbVHPV9Rvz1uALD3nVpjl9D6phK6NkgvkJmF9DUUcUV5xGYzgYd08x1YFYw
swujiIptoRFE4nsIZPZurEzhvDQOE8zyEbqnZvAqu7kIFB27uLCVW1Suswy7QR0+wWdwRObVKuMS
9X7Slm5nctfunSJdS87199rItH/upnxvKfk4hxPM/41nzM9a01ShUbtYB9Q5wZubcUPAk+ZizfTO
DDAROh9o4CDhw4c41lqm7hkJMmm2GensFgG84axPkekFzZAnTzwH0qdOyRhLLXgNXORXZfbcuSYT
ngImYLwHTaxOQWlwGvgd/tpPhe7/TkHSQIEDW/youhOPKqBOYbus6HIjGfpNTzKnyo+bc+QVIF5U
MFAt/x318I38OdGXKHDtzjSBr2rVQww14hCpJk+dRcuM9wTU1hzEmt3kJ6Xv1/LHm2+BeNfKZomF
+l4WNedqL0o3nDnZ1UCpFu0qtmR+nLkQXKRsZCxgyExIqtEMY53mpQRrqsNyC3wDuoXmZNNdS225
ZzFF1lEHweeb7BgXn+yiQOQvCQ5y7UgjOqVd5MYcWQ+6nQ3UyW4jx5ctQSY+IThGDSO8ZQvKsNq3
mkgNmZ4V344j7/pasFCxKFsjX8IHgWSZlxeH9dWNXjoy4GHg8c5483L780b6lzrb3Vd9eSu/uv+1
ftZHjZOFDND+J1n4P/6GtZ8///RDzukH0J36u//rR/3ydQmX//3VrXKeX/6y+clevR2+2vnuq0PJ
+gfdeP3I/+4//o+v/xbBlUnRn46c/6Qs+t9tDmXorfultf35Ob93tq73N9uEKch2+2eHqtIn/z4O
88y/Idj0qA8wIcLk9BhW/d7ZGvbfECIxiuPsQrn8c1T2h67IWIHPfDRhZIzS4H39KxBXwJG/HpBY
pfiDJYOHJb4d668CUpA0Olt0QiSswnUD6J6QY6qefilKpiODa8bhSg2KoJZy/iTSxLmySHhjuKNp
8q6uBxVBXKO8sWpUzzlNNAyEyHiwWbUTTNXYVRh3pnNJirG7m7MxfQDFUexyAA2HErfYa01wC8RW
JzsiM9r0M2Ux5rtsD6CVqGDMTRO1xtAsH2pDtkMaxTYmxinX7/EP5kevKqpT5BjFbjA6H+95da4t
HRgXM+NQycrkqI0dy5y0ZClaKrYR6krsHKlbGzjxxXRdN27BjN/1ruYuJtDasSf9FjiDdwGipZ61
OVXPszErI1wIQ2zReBY7rdbjH+va7sIk/0ab7OEcESqwqCzkNJuTgOALT/FV3DTfyCzWzf5sB64G
oTFoMaXdeLNmEvjHzg3R+kTKUZEOO6tQm08p+SZGawCVS9npVaS/Pwozo2WZiHvfNeWU7T2kDaE0
ZUmE2swcgRSK59pNo+t+SORtX6fLB6yO+UfVDsZtnIODNOZsDazOplsmHLDydT3disgaTupEy1qS
ihkCVnO2zViMO0fL+THoR1ASVcV+pJFG2GIOHNPGGqIB581rTnoVI1OgXR5SWES5WldhZ0XnMm9K
dA7Kgej2PCTTYXk2Yf7thBit79jLSC3O+vTU26bcMQaODnqZlDd4jhd96ykZ5eGMP2FjYFE5NQC4
nuI59V4cYZebLLWbY9TY8r4ZpXjwIjM9L1hXzhLBAYkxrZE+R73ZXWWDWtAvm82uRLrm+RJK0N6a
CgesbWEYt8vspOcYovcWEg2PKaVx8UaQ9YPNqBcuEgJjpFZN1RuPxJMjTgU7CrLFLD6GaWoukW0X
+3kajJONmXdXNnb6MrhO+kM0JE1UcWPdlrCj9hPrxgvLHOOkS6vet0MdX/ckeT1ki0HaWNkVh1IZ
DmSrysj3Ksu96KLRXypMvWdBUPshxTK2z8iJKiF1dwWK/cS6Lhp50hNpcjmScqWo/QZlNtj5wVVn
f55ybaM3kfMmDPllCcI04rkhCQ4AF8lQkbnF68Tzzan0J8PMP2Zp8MxTYlN/cdzqoR4N4GT0gLtF
rdTbOrEpHiZqo6Ol4In3mdqrl2TE1xNIxRZvrK6yGyfO6dRMJv4ftN6EuY98UrykxSOqnjIYDdCF
KlbbUxbzS5SGkZIvVrBep5K8d4yuf0eyPLak0msPIG2YJ0n7WEuxA08A5MR2yspPiyy/xeta3FlR
sbdn2R/taKkOZl7WYUfZ4Q8clmgevfTgsKvdzqkhQkTD05oEl901HZDqZRLoTXKsCUsy5ytiJP/h
qMr06OBguW30kiiZvkFc3ia5HiJLbm6oRtBQ2OIkWkATgedtrT4rd1En1TNshWInilua7PGHsjps
c9vQbjM1NvYVVL+ORzM64Uod2w+jn3kl8PKkOjm7WpOswAtCaFn8Ge4P9IcC4Y5KjqYv0SICUZnj
66Wr850y9az9YeWjeRon0r7dNfg7jubNUC1I25d6YLDheeNjvMxkhReEiITFGiCu/8wS95pWPcWN
aM7zGjWukTme6Wv6eBwjekoLz/E5AdTAW2PKCyV9zl2pHgq1UzcgN4Wvr7HmxRpwHtWJd2utoefd
z/zzNeXxNu2VPHSoQoCZdG82GVG7TLXcGxUxEADkNVB9XKPV3Z8p67pb2BuQMWTZ8NS4LGsce7sG
s5cktHtLb+95Ii4E5HXjpYtNamW8AFddZldBPyvEjQ5me9Ov0e8ZwKonJUqLS5eXzQbRTLzV1rD4
BenjxuqE8YwFT9/ba6h8G7n1Npky/Wtx4oHoMcLnTUOsD5c1kh5bQfoIboycejvNaaAywuuHNca+
XgPtFY1oe20NuZcecfcjA7J7deCtp99dwnnum01HBhuzJ4+1BKE0yTUsaMmFpsnAU3D/85sdgF7F
xrAjFLtfYXvNY0FIUgorlaT4aLlhnmZumnFUSc1jVpNB00Ghx/Bka4t6vGhjrB89DHOvUuh5KCHl
MnvmcZtyi586JOd7Joig3nLRei+5badhWUn1RxG10Z6TCXhyr4ezbls3y5ApH43pqMemd5UtQMru
GgZ5cbBMJdraZtzdFrN0H4E/RFtNFep9MqYq386JlGCeFXtrgBi6tLN4r7pl/lCXgeMf29cCynEy
Y9RWUgtZcxs+26YT0SM69qWqTdEhD7UE+LaiYQk9KPNUvWXht9Lasyx+GCwKEQKQBDGkFYuiWxGL
Yl+TbkOkNTN1pPVdiz0Cfa749tomP4xFgth1ksoVQ98NS6vyZkTotO+t4cVqLXrPuiMmghX18J73
9gvwVEYTwzdkuBeXAMFKW8pAWST+SUOUh7Zy5g2AvgddxM0RmaPzMDa5TmaRrD7QA03PUHhe3LFC
x/JmpyCQ8yPzcAZVx0Z0Yux3hT2JxT5TalWx7aNHUi20EnVvblYr9dWkW044yGlwb0QvZrC9TEiG
dDbcfTFKfnEKTQykRRQPAX3gbpipenZl0tTnFABs/dJwgFJ7rVjOKcq3AgRneSSrsg1XN29IkZef
CFytjkObOi8Wor9XbFFxdhPh/js5iaW1D+TTJRHJlIgHqmDqJDE9fsxC7dNF3qw8WtC3rI2WjFHl
10qa07I7qRFWijrvIClV29Hunjum3n47xUWozvwm+9h8npgg7+20ob8u++HCR05br3AoJ8lhSlvz
avB0BGwqAUF+HvOUUZjk7qlFHqslKTYJ3pkjTxDlPlHS+GpyCi0A1DxfxiQWl5bf5nHppd8nqXwz
c28+tp6t+J2pDDutmmZ2hmu5ZSyMyzzLaE9pesBrAVdpDsc66kFaAsgmZQAWG6kgMF/N23JBpp0J
JT4wse0PpO1Ex7bU02Ovxle2VhTsEbXmKonsPpxjR7wOhg37DSXbLhVjus3QGm1QSEabNi3qjSRn
A/9RkvMgQ0YRAGZ29wMzEBzEermzmIl9m4TazUED3HxiIk+P+cm4zHafO3XA4PIxmKvI+DES5uqN
RG+TlsVv05Df26Tflyj0TX9uz/7y13/7v+nP/vx1/+0fdYP/LzZxTAKZAP7j9eTh8y2pf2nhfvuM
P7aTGroFNOB4opHbg/ulJfw/kgaHHSTMY9SzbKf+pGggzIdFlYrQitHTb9kdfygaNBQN+Dno7Nah
FCvNf6WDw1HyawdH60b/xstarxnizv9qpc41luSWE5EEkJjKIabkESdOs1nfYKmgdiCoj4mcUR0B
29vF/ZI2lveO7+krqRfr3nRywwq0mp4NJN5zTqD2yUKBheuUJ3aEk8BGxeAt2JhDBftpf6cUayRO
EkMqfFQrESk+Esp1NZ97bNTHkRP94uiJJyi9C3ebdkl1wE7FBIvzPShnLQ6rsjARF7vWFj0ky03C
sW7zBv0WYRMyuiqMprnqBhSo2OHEUYe++omY8dUse/fT9Dr1BaKFg6QhbV7bMlcDIPr2wTa6N8La
mK9MbjLTy+ltclrmZNqrTW0CF3aVS8UOcaJmGbcJEOo2CtrflAgO0WTlCFey6Jm5pzK7VpJEf8YV
cmUORhNq6QQUNk3Uu7mr6juYt1U49upzASf5cbKmmT3rtIrqvGeih+3NqALvM8bylqWl2JtDq1/a
smRd5xpRoGYpVc9Yy4NlJ+kZnOsbhEnU7U1F+dLY+UmUEC+LWhnfu9yJDnNkGdu80gqEcilT4MzV
vtbtg2B+1NZ7T0+/hkFvNx6g9h+WBtUNKzcxbALZcCDKwn3V9SHfWA4U2smtn8u0fBawOs6VaBCv
J3J8iXrFAmwIOYDAaEwJzVp4O7IaebCXo6X5RupRsC+TSca5mjSH9Yp8FGNnb4F5Ux8RHZvvidUT
TFIhfPLqR4cnxzgaO5V94UzGJjRs3861+M7MtfxmnrvlOpKJGiSLKa4Sg5oVjeRk8V0M0izxM+zw
gbLzQHKf3ku7K66sspmvktk2zvgKsy1uRXkjW9Fuq66bPnqaCviVqtEHQ64037g/s4HBnantSoqy
q3aJ0v0EVvSqj6AkUfvKGEhrQUQmkvN9opFV6PPYdU4aa8oaq4CjIgedMZy23lL4LczQKoBg7/mx
2w1PxjQP4PGNWd/mRi7mAG1nGupxAp0j0a0gVwix8etS905jSesOnhsfejCyi9p6EiWc4EXR3DZH
aqnuMW4xiYAl0pPvelhqYmQLb88Ywr4i/OCTWA+VUShAB/h9FBhGq9CZTws7TwNVI8Bj1XsGow3B
snVOTVSlN6jQk22Bwf595JG21VPN/shFtDDpL2Fm2GNi75g6Wn6r9fIHNhTjRskjh7kC1d9AOxUH
VS7nUy0Vsw9cN6qPBKvKBgK0kmzmQV9uENvUm0WgYLbtqQrxbOgHosvbOxJmrB3gmeHJSqz6FrZe
Mvs4bPHqenF6Uhpj9q3Sc0vsYPxIOE/ItGR6icnSkaT2tOO80ZYxwwdCu5MCI3scJzHhLBPaNkHo
FSYenv22N6MzjNz2xrZFqEVu+8A6377zjGHfVsZyLQdVAp53jtbAbe1nhT4d0qiUe1faNfHXurLR
pNZNPp3xfE+f3ZzLbmSrD3btNVU1gVgjx9wmW+Ju5zSJDhVKqfspEzpJXV1gTI16Lh1lo1a1vI1N
0V7N2MIDDk/ilwd+3bVVJWTCp7C6VeGFsUGLtQjtEw+IfWlMUR3oPvRD2Q0kPWgdUfSgKZB/RPGu
1fFERGnzgJppxl0A8/h+8ZL5q1QbotnJSNvPWWne0kGW6Dgo3Fh4QiFG45bvnGFqQoJCelaES39K
k2F6JDnZ3Iqmipnrj/ZZnfBO12Q5H7w4kWGUe+6LUavJHtU8qwa8CZsWMggxo8i+X3gILnuieJQv
jcrJn2RCnLltDt9ZpNRopdP6rqNvDhomFgyq1bd4KeONoJgKdbS2O3fsFNZfbFxe2A31V21Z3HVM
EI+JR49ntC1jJeJXCSm04BMAsL1RtdS77pIWCzuKgmVjxnbLVKfGo2RMboizZwwHJzG/KHvHjXSm
DwpONm6cmYz3cpkErW0pV7DIhV83lnxuJi8NTK1Z7mxXemFv1DbDm4R7w7CbcLHc4oAcZDpXyaBw
YFHoSis1X/NihLHtiPSiRVXFeKTW3mQZmyH9+WM0cKTrctb31mjj3VaVyLpPU20K6endA9vBO+Dj
B6oHljsthLhNrsKe9CtIbqGTjreyyeNnZbLKIBvKDgd4ldxkRQfoQRGxfFJjWxw9QzjHmORglxM0
8vacmwoLe/Wqw4JytyzDzQC8wxeFWkA8bPPA4tpjtayXx6gmKpd0px2jperKXuLk4LnKXT57XGrw
YOBtG1EcmFXs7lOGmdvYxXrRGUMZqG50leVNvqvtbmCdkrlYJNQ0lE3JvBih0BayQLqL+yHz9akQ
G1IySpYmLcc34OW3JFVhAiBOPi1j53xojNveW6bFF6trbzujtO4X13xUZ7O75F4krhh/OgcQ6svO
HZxhI6DAPqKwHo6WXb5lS9YfksxhA52n9W4cZiCfS+HYPrrh7phCxQFUE5t3OBPrm4WlWOjy5Bpx
A91qMaM1RVbyyuOpjAJAi8ZnLU2VfbGM1lXZpNkRIeMWR61gPooz1TafJoU5m+qWxSatjMh34rF4
8Ny42Q29K64bt9dooQhDUEX05eYxR2CcJDuXZACo8F2x70BTERxqyhOzpvjH6AFTcTqgdM1SiNC0
reXbEsVDUlYVtpLMuc8jXkIPxi7g9UE+z4zzyKm6YbD4GtHu+GVtJtdoM64Kwq7Okz1dwd42HwuR
V0cBxmljKu24S9vE26ZTHr22wzztsPS1r5NSkWXowcerR308ODIjTtXuXqXGueJBiIfKsKrB45/R
0W/KYM1hOxuI7N1sOXre7Dt5XJym/oTL16TxrsvxYhZ1HCSuWgeoyYrHTLGre4qq/FQJl0e9RQ6I
DyvVza7rutd2MN+bSxGbREcaK1Bdbc/SAApRTZaySzKz3KqJHl85rNM2rZ4N+zjKUmYuMrNvhNVM
h8QstO3kDui+s8wKmIG/dgxRghoTbrOTUluuGwkmPrda7VgvbbW1XDm9DW4EhBrXEkVKTgfIGDgW
oF6RkIcAeKcPKHzNqz2PgUqZ+1bGXhTyQsDblGKblZWHDxIsOp5C1Q3KLFf26DqwAtGvlZmvMSYn
PVHPmfmY9kYC7k1YbcefUd/qoVkt0HxLGzCO5ankBufZNXVv0KcqE10dyr8aNTxBZYR/gXMAwiHV
ZoIejFwKRf1eAYt+PxcMuHtmjDXgt40G2c6n9MBqV+S3lrPkoBDVeToRgaIGotKzg8qv+nWdi+1Z
zUYbpxrwn8Rzh8imIzopTpQuFJLocF84kfMDUGPrbbXBsfx0UW8dZuE4duY4u2iy1z4YwBTXyzRx
IIx6ERhRDmi/WopKu3enaMiiMBrdpP5Ih3K0Tb+sCq98cCYovOYxstw0P/WT69UPch551/BST4qC
TKKiUvaz1tYWA/oHfg1yzlfTiJfmWBKSGPpVH2UkGsXz9IW5MfmURD/51AjWDz6nfsX9zKxXH5tD
NEfsibTRnUK1c9PjgPXiLBo+mhy++sXgzjPyud3yHZVz7nkiBASp71LHapinNlOFGELVziB33ANW
64U7mGbu4gz2w5JgpxatZX+aRdMR5uIszSmyPLmxFq+9AwRj+BnhDEelbMpbVSZJaBvMDpkGyGFv
Fr27ngZMIkSthwTRTL4uu1U4kOZ7uy3MjVNY+kmtOvPYqsgZUwt7kIv2I7TsuVyJfnw/NW/qxykd
zecO0TMCBphxDrR3hd2MClFI5Z27k4hYg5SYhhdpRddxRkwGoCdvugcNFodjFqdR0A8LC60m1gMm
GB15OcR7+J3l2oNP6BhSKJ7CmU+lNRyyDgWE3zVVeZzKLHuISad56Sk96ZkY0c7VEt+X1tJt3fXN
Jr4i2yleT/dlsdS5KBFDLZ9BEAoTfJQHxroEdUQlsCCCOjJGrJ51QGFU3fWxR36j0MQTUFCkjY0r
flR1/BShkLgy4Wngf61UZW/oq/S28piSDqN6IoW5uYc71FVhFMHmPw9TYt5WiXhzFuKIkJRNMfQp
sinxsak89tMlNiVvSGRf58VcPBNrmD2CvI12bIlwwc6Dpu9ohfrHvB3k50o7DBrdjE9dGTchr6ja
Zm3GTYhIa/Fbu7dmn9aDWmfdoYZRYsn3haqPil+xWOrV03wjnNWwUnlFetfGHpWYWND9jNmgbzpX
YVnjLN5B5mZ6SJYlu7KYth5KQvEuhUXn4Ew2F5OqvBduvTwmsRlZPhtlfjhj5tBQrXxmYo/ohStf
qsGSOcu1MtdLWAxNtOv1sbjDvOwSYcR1hR4KOJdQ42OkQydsqHwR03n1vsoismRpy4jzqNZCVrPa
K8uguE4r1VpPsHjjzUJiUe7SrBQ/6l665bWWZ52xKXDgGGeh8RRgJYXGJRgSu1PJuDLt5VOZK1Xe
aGz29nZSl3zBUZmf+2pqpodFKhnPV6Wn4e1vBrVDg7YZBkd3GjZN7SRPvCWt627rWCTA8TutZtHz
Pwn87RKzV6YL/updpDjioSjK6elP45+/ozbW/upJX20crCqgqDJcYTHO1v7P6r1GTDIrDE1eYqWD
w+0BO9J0aA+s1BS8vVH8qpfGbsz0o5FbW8Vst1aibVwnOjcDwse63/Cj7rwlA0OV/uYyYLoWf9V/
58WtYvM/S5p+vrbVW2MCtIA6snpc/qQsLLURslWkywsQ2ovTUCtGeywm//wd+HvfRMMiA74EDYLz
1zeA3LKJpneUF3iRyKppgRXAnk79m8rw/48k/wvHBCPDFeHyj0eSD1/Tr6qS3z/j95GkZyAQAb2B
s9uGwmKYXAR/jCRV+2+wQHSkp5r+m0DkT7IS4ib5Jx2yssrIklHi70NJ3fobpFMU5ibKVWg16FT+
UNX8Mlj++5coc9H/pCvRmYmCctFNDSs43+vXq1TtAcmLulYPLK3a51HBAtoVQLYnvbhggRSbBDWy
P5V1fudI98zeefxhj5m4b2rlXqhtdxygURGu56AwrAeFIZhhR7txJa0MQBDeBschdseuVeZrbsTp
ZFl6jFPRsWbj1jTJQCt9paKuOCykMugXz6Rve+wKjLeMUPKlZlyX901zdtmSruFCo6TG8Vmw9KUJ
DTXPzO2yxKoz+o1sW/EIdLrn2cuQptDoWSebh68eef3GSVSz2yYFD6tjb8YpctCsypH0M3idZxIJ
ymzRjk49608mbnvBMqsmATlgdjG5PH2c2ToM5JmpJDTMqZM9RCRRDCOKMoSLYUJW8ltWRe5nbGeY
NRe9wzW8gYqiUk65HW79+2lps4Y4tsLsdoTW6SfSBpYuGGwvOUUIK8dAYt7vtiNBiuOGqMYZbFWd
7UuQfy9TlfalX5AztM+UyYU571ov82iZGLjiZI+c+j4uqH2wfGZnoVf1PtPlU1anxi7rJRVw6cV7
AAc/uapx8sx+AxvvzKPMcaczcBNs+8Pw3MUlPvcCZFs5JXjtR/qkMbY/MGOxTxrkCw6bLtDReOeT
cYin/AmWEEA0T0Mb5JrvcQpcgtpzoGkcWMAuSsmSTH9SGFr6lgN3q3MSZ+vq1Y4k5btxSZ/sQkch
nvYntumSiKb4siTCCXCVvtRld2QEW+3zPm1ow41wIpTM7+bGPjUNsTEtISAJUUp+rudPDRaycGiV
epOX45edVva5tJfoRnq1Te29BmKh5fU7Iwrzech35mhqzObGaz3DKjGOIwFbWlQgrh+TKyal7dnt
cUMwPVMPTp2m22paLH9QYtQJnXDf00EfgQ9Z6bubiOk4tfO8aYSl3MXNbPpVFn9FRlRfW0p/b/Xp
dF+VEBbUhiEQQpZ0X7EE9ocUYxyVqMV83sJFgcPpwLmQbBHfetuYTDbymRSPpCn5VVt5SX5XX4cR
Zwc7OoS9yKzS99ow64CwEjIV4zZeO8UurOs1w6XqiUtaFMwS6oizGL2B7+rTg8bOF0ETAN0iOixL
Jf2ya4SPqv/ZglBBGT5lx0RYXqCQP/2Njad9HRYnyLTez3JpriA+QRMB0QM84JgPJ5uQvpthaDFT
G+aifNe9XRn+SDo51T2Przhss3GZWT1Oyp6t63A3Uw4594WZNzcsYZhji6hNLw0CM/TRqbuJ6Hm6
QCuG7OGnUqFXtSXepVmtH6shbktM1HT4bDsINvUj2TNVEkagRuN4A8pdC8aRyyL20HD47jTNn6Lh
UN3Ejjkfhz6t9novZ0lCE5fWFJBKjdxV8GpzmhFwg5oQlLS0Ls3WJl8k+aY09rjXpCcgm6Aakxcd
Y/lLZ3G16KuJf9lqY6lCi/fKnUxdIqCEou9UveYnyyWWmczGgVRzSkySAFI1VjaWMULpbJBgq40w
NhHj652II1Tu7vJjAsPz5KTNdCky5Y1b6llfUtUneLnelKD3ekWYlwxyZNgWEAYqJf2MiJoOU71J
n8o2K0iVa6z0rLfzqEGMIIx90UrtBjn/oyh0xLIknaymuKI+ah4gFgdF1TikzR3OXOUeLJnzppcW
LrTcE8FSetg1hjjhNpYTy6BoXR/POFrPdoQcpo/6LgQy3l9gQtQbvk61rX9upNe7Njcjm23uCPNC
WNNGgVOAtXO8KRITw/zc7SUJ5FjJCSfnWbK4YFLs6lYa8wviOmtP3pj30erdLXE6EDm63Bj3htv/
sJmrsoxQlQ201ANzBzfMB2S/fq81/XdUm+aG+E7lNA9WQgM0aGGlLt4G2wx6nRj0TWRqnAfufGF0
nV8vijqekbJlfjUPTphWE6P7DgDOyMZk05t6vEs8k3g5qbsB83BWQVq7A+/Vcgb3Z9D5uGDREvrg
zbgSe3iYPdESvi1by48RYhKnARPLRbFemyWzRWIu92KadsosvEOrjhG8zYlpju2VH/QO40ZV1i2J
Bnex6XIRwkxi14dvuHvw0swLDTcn5htoP7AzcfAU9MwY878n4TyWqcPAwpPDVu0afBIkRTHvWMkI
1cRAcCino5KLzzFfzkUfDSdtWrXg0hLMxJ3qGl+2eqVPq85JnaGlpj3jcArwvYJznI1VxQIDUjJJ
CTnaPFhZ/pBnBMuVOeedsF8XdJbwRhxtk+T9q17n+QmNdORrc8XM15CzTx66dsU10O3ID08Cmeff
g11426lZXuOGr5rTuMd+NiNYhLgT6TRkHP0km76XDbId+K3tDTOOiFBtrbtI02VbWOgAxdX4BWr3
d+OJL4wgKPYtCoZxMp9LpOgBKj3xVLh8qYXYLL8Zpv67HUxabdIkQlgiJeM/csxqq8huPb1mh+bq
y9WY97wNTv46lEi9OUxrTu10fHbnmgdGbzBLZjw+xsCBM1aL/mCnxbte9To4SkDtg1na22x00M14
SrXtsqW80jVdbnrSytDfze9dwjBxJFsVDROvQTKX2aiecJ86FgM3udGRsljRjuNXZ2dQ8YY1vPwR
n/QLt33en3tZuQ8CZZ0vga3dtyuwlGVeoBRefDuAd7qxGNS8OJl9b9k265Yivph63e2NwY2NYEqy
VZUV8UYnaWI+omuXwWTZyPZ7d2MuEZJegaqE3/QoSQMR5YwZfCT0MK71T2jdlYXbEAmQ3mj19b+z
dyZLkhtpkn6VkbmjBYYdh7k4fA/32JeMvEAiMpkADJvBsOPp+0MWZ5rM6iGF975RqsjwDTCY/ar6
6SCW7mguk3+EKxR8HXPU4N6cvklaUe8W0zbkbhjS4QiL3b5DFh6QkeRUsbKqbti4EOFDawgZBbou
V4RZPja0JD2OADDMiFUT8ymGKitynbb40WoAj+uNmvCbAvUD9+Zr76CUcLll6N/D19kSJ4169AN8
IvaTosYq8pnLcyyXWHxC85OKsXMxpvGylXWKHJvY35m8uk+Vl1nfRCKJpS2OF6L4ZP10UjDumk2W
U+i2xW0yfTOLoNiqum+fFpTOU8zieR2ohzqElXdPYgZrnt/524HHwXQUxiK5nL3B/x4nPhwoq/Xv
ws7N3lylHTBwmbvVVPPu3MxWkaqZRG91A8GpRgp51Laj6WDkq7jFYR2QLYsx7Pid6rHW6aArt8PU
zncViP5DIrTcx/7Y7UmQkU7mfR067RkH6VJLf2iInryxmuVvPOL6L2RtzCdy9/HRlH52Mt2RHW/c
eOeGY7IEet3C3p29sXhNrEzON4wJVs9Bqs+hAWhrk5pjDkSkCM8WXkxQCpOAoE3TNoSwxNwtJnpC
t0zdmxks/XeiuQO1ZHV4A/Gtu6OPRr/Utgt0229r2W3txtvmpctcj93V8hrSE1JLjg/t+AwHzgoj
zkl9uF1CZXsUl6h52GWS++GGvC6YrCAuvJcRBdn7kuRGtmwZO/JkDXon5EbUCG6z9qYEId2hws3O
03dQSRiWar9/wndFphpHhHEtqil7j0u32mNRpCyxXKbihGBobmUgk2DjOLkRbNpyLN/MeIofBv7V
44SOjFEpfIIWV7EJa/rPqqxwZqQ+cni3JDe6YktKW0hDC2o5lM8CZtbGNn3rwNQmv8ABb/a4tNIt
cxVKr4ylaDeuVu5+FNX4UDiu1lt3iUsSnTTGDlL0l7Ja+o1DQcGx96fk3lJ2PD8GvtT1HTO2yd2G
yWQ2Xh6RXbPYLBC9DOc22OBJsEDjsN3Mgj7ZAPwfnae6Szym8GzwQE/o9ijDtMSkTanhcoOF0Ii8
VopdsahKb220v5/9JXirWs8+drCr36wgK/vtQjGdf9Q59+InzpwYmKKMk0s2DPgIuYS13GE5G7eQ
fAYKTAwfsTyF+XwZOkMd+zYUj1NDIKwUjXFY8GFg55iNczNqddJck1uoY9mFrB5hOav3fxCTdb6Z
Ve4w+gOkiC5dqucW1Sp7F2KlqTnheO24HyHtLIsLYzkIfqsDlRy9vmQLLjoEO0z9/usiR3NHinVx
diED/H1rtcuHycb6ZpwV423OxyTYTXzCTn9eiLU/KHwuX1KSYI9oHHjhVDZGBP/UlpmTrTYiLSEY
5sSRazNmd0Ac7TDlg4g0jbe3jtOAMeM9vrTsIslRTaSUKyF3Cc86NufNvCPOh4+88E+GqoZtzcGd
oWwW7nVuWh+uMznHMtcK8YSViZhUsPEZ4R6yxB4InLnBxc5Kj5+3TcfPIjSGQ2E5d/ZEJN6s9N3A
O0GmNy2GqdZ8RA5u2Er1yYWmk2ACf+aMzM28Zq9CvIfNTGKLFC+uUiGzFGNdSRlbwWM8JuX/tWVP
Tzu9Xx6NjFw59dGACUevCjYMp9vIMA0CzHTU7+sYEboKfeOuw7NE+i09UspSXKccRZ7aCQB/oFML
5pdp+ptSnnONY+LuW9Ukx5hMmJO3LPw94hIUfOqnNDFvnXcDD51xfiBRHd4OU5LvZJV5Rzjp7s4q
sMib6NlnXAP3AdIjCbB2qqNeJR9A6yQj5LljLi2a4DY3Gk0GwMx3oogdXAnY1xOafzf22IKgLLO0
fDdU+97YQKVpTjmQExEmGvbw3Zx4sOKtX05zqQu+v77PNoOLbWkiSRvNuc30gc6TLT2VHy6FZruB
X4t06/RFBRwiEgIAS/O9ksUXsn7r9dab9Q70Xo4hxrbJ8DJPLkBInmXWwjttJ0BQiUklpD3/jMVN
skCe45mXOFNzqT25jvBb/yBgqEWwrrNLkST5PfMH09z2ztQHu0GZeLo79tsSBWnbrOOfKWjVKWya
AvFrWI7IFeZvY8URTXZyOJZO129Ho7EeZOczEVD6W5dO3RmUlUSTzamKrvttms6KyK7X8AA28rPl
l8PDkhPjTLLmk/MaW7G5yiiIXGR5QgMb8igBePg2dFTPM++52iDVXtlKPWdG00SUp/o3qWePUTMt
bBxrnNPj0gDW6A29rYb+ayiaK5KpvUml9Up5HmDXwXGAoekgGl07eEsnUW5wl1fb0CT7a8FBeCY+
6G7cJbduqjmFW169kzNoj3ObPiF+/YBJz/5vZndEeKR6Smvr3U5FcbKHyvlOWEpvzUTbW2WUr5Mf
2D+UKo1lnxCPAIquRjbfkyIIuXjlY4B9HOEpkYJ+miD+Oph9DuFuGDQDinl8bMQq6ZC9BmnBAGLE
7+YAAwG5KDjjTC65LDt8rFiwgKfabu3x8WK/3wQ67fB/cw94Zq7PVsVWcqHXgKNOvOWnUv4V3Ju6
Q/1jYy1yo95Y1DmLjWehEu6GoBDtrsc1drsirk/8A/9XXgU/LDLDVMCxeARZeg6VSdrS5eEqwEHE
ueqbQw4abYcrAXqAD//PLabzAoiRW128IhKTgBQdgpC1zgJXX8sc9lBChUdgy+3Y5WXCPVguO2Ew
gywJ3qSH8Sjr/kgh0tckWM4TFzyAFiSqPDGuMSVD1Mu5zU5iuEAH7fajDScA9GNxVi7jvyYk21Gx
1Sf1MJFFw7qmk+EhlDDgSsCZfTy7u3CqHmAmoG2Xs38CvGGh43UpzhGSIP5SGnej5bxlwmlvOvpY
tqP2sigpQCikFA/vsroUx0lyONNu356qLjGZXHT1xszd74qm0IfeANYHdBKKQj1/zRPB5Kyb7b2f
E2yQnf0Zu4N4GgNMEN40jxprSU0kqPWHJ9Y+a+N5ro58AMpnJKxrYAoZiZgW+kIHBnOWLLN22qRF
FWfOFdoqcLjFdkB1Z2PY7/xEoD4SCidGy/NRhEu9z7NZfaDR1O9u4NjlNjeW5RtWtniKxJwbH2t/
/Z1Pt/BR8sDTG9v3p2OQS33xc45IJB1lup2y5KzRznd2Oc+f7LO4tRIFuViK4K4e7fi6dGn/zci8
H4kWM0IRQva5YQz9gDExjtwMx2KkMnN8ward31tW6iy3Gssjgq5f1gemoCvptUNjXxYYgKLOhA+D
NMOsY2UVDGuqYfeZQu5xzNi4FQTehsjlYXDM4uF5TtwXdgjuUxMn9T5p5u7IfTDvPN0KDlfB64g/
bqPSynpKzALDaGrfBaKNP0qMVpEs4yACZ2RlW0JduXEzWmxqLgXhmU3TDekNe4hu2uNxqiNN3K0/
O4TDqEjvUCoPSTxiUhvDgigKs7C1lM0TG1IMeDrtEXdT5EPffdU4ym6aJgA0mFLVQTjDZMY3KxlH
6Pni3aun0L4dUZmfB/4AQaymX976vKMfRPmEF20G1BR3AFG82r3qLz5XD54YNXYHOlyyy6KQnbY8
sMJNp/uEHRN5LMSxDoQXbjx2Qqwy72Sd/a+OTnH9573sjgp/wKYxJnwXZMED/Kl0gkfUJU1Pbq86
hk9I3B6eA4x9yjLCVzgEyXc3TSRm4SROJqqr5vlxzocJowU3GqbDCUq7367dTRaPaLagpdoOtvox
sr0mINU8zARXyY14pF1yfPyu6scDInjzMCWD9Ua0rkJkd1iwF+2K+7ahkmQDWDd4bF3N85S1rL4v
FmN4M5yMwuu0YS5TLmFw1bPRveXKMG9NCkoOlgpEyOG1tR+Q0v3H0KA8AjteHN4YRmpRpENUtWuD
4cmybIahk0VEA22cZXVTukFlsWfENpC5reSmHGnbIijCVHBj6xAPBhP+jucJ3rHiRgprxiPkjS6/
dCl3mEwSckd5e7+Qs8VHOStrZzOGejaJO50l7u6oKtL5RwHP9D0WLRu1xaNbmUmHvk3DkJRuIrPm
rfdW053BUzfBisnDHqGbw062M5OW4KkxIvAyGr3RoKVPw0jwUMGovChRVS07e2Fe6qUeXzpJtSqr
bFZuU+xTJNudmOWkI2GXN+qWyu/gWKYi2UEMxrJDMA/3KqjojaHH7hoUpf2F6a3BQ2xUzyb7uwtI
gxEzKrt/xpk+UxojfZxTOeAbBWg6oWVEiWrLa9+F34xBiB2LU4zc7NKANy/iGg7cGra00l3WrDwt
EdxXOKdO4+wOZ8/wlxGGULF1QNhx0YQ+RtZOn1sIyldD+/mF1oDPKpjEbgCSuZfB/JHABI4sbNJR
jDkKYTgumZXp+dXI7HjvY8PcKYvkmcGFfkgH4iCDnkF1owoznc0r6PUhDPDUnsTWE9TCdG7NXhZa
yntWOHPEUWEBJwTijgdZ298HPp4tNnr4KKnNQ9Sf3DTDIMPDRkKspncUTMIFJRz8JvINM1bBTqNO
9yKnkjKsl1v4EPzvZoznDqf6CP4IKl/+GrbWFzthsXaNapc59rIiyT/CCrdASGfddhzTZNsahbnF
F1DvLZE7x9EpD04iHxda87CzuG4U9uayBgrvbOq1NoVs3oCay3sv6Y+xYR3ZWHWHYXGGrwY4H4yb
xhfbFObeXNghT42RHdTAgxpb10cZyuZh7JuHvraKeWPWAY92sR4E08K4CyA2RGBBqQwnVnZxBuM7
lL/+WlsVvUCs/5sMGYxBT+h86Ubc9Ek5XQaFb0wXvxdg/I9s/TeytWVxuf+VbH3726f+aPOPP4Zp
fv+P/q9y7f4H2vcKM2OiaGID4e/9P+V6RYcyR/OQoqEb/CFNY5OmoSQgQOymBsJdS4V+F67pVPoH
QrX1K//ADABnuisSFKOH5/LG/qxTFzZbqTlOh4vN0j6k1yXXlsVT3HYaOVcXiL7OTKg9G+L0N84B
QbPJs3x8dgNNFnbp4qeiDOKF55dtrVQn787SrXeZJL4Nwl/wyuDfp8PGwq+/r5as/+K0ZXmrcRPL
7WCF/T7sguzWmgJ79S0mbLyHZaX9paTIZte+7VDqopit2t4cgvI+z83qnq17/8j8z2J0Nif5q57H
8ewYOuAQCDHoC8Ts+JX9toFCHdThYwGI9FFb3asX5MupDcREzN9P7r3GXR5NUejHKWHpskPe/hJ3
yCij3Z0J5Cw4hG1YNySD4Ms5MAYz4t7PfcY6AXWkQRyuY6KWizfdN41q73GspG+kV/o5ohiDikGe
tPsw9cWT7zbpI9xOxrOmQ92XYVYTO+fRugRN+0KupePkQCpJb5zBtiKT1f656nq8bWL6zKdJ8zik
m/1IpD67NFklUTmU236FQMSAq+E3fClyWd4GSKx79toLYzIHank628m2GAIkRjR5DIewfu6tsAW6
VCR3Yy4l0Ykp3y4pcHsGtuHRHOvxMqVVf6koX7hNRUngtuNB/zR3Tb/PpzCPOi+3MMtNHOOowLn6
jTleHMjTx0B49od07PosQ9E9eYFVALvhFLOrLMXxX6cWnnDl9NcFM9a+Eb4BI7qoHqBL208dwPN3
KleKH7BQzWcLsYvd6VTdQc0wbu3M35Pm6ChqQwfmkFqF9/Qul1+o4xv2IljPG51l7kZ0y8NoAuQy
MFJ9b8Bf3XFKqi+SUo0otNcRmeTCQc81wvCbbcteR40W7Psow6ioDy7IPzv40B+qdjDzjQdmfjeT
4t6UZj3s2a0sG4rGPrASBzcVLI+DY7vq1tHY6Bhgkqu1GIpTMgfuXFCwuBuMUF4UCMdjgcvwiHGh
+E1WibyHB0i+P+fpkbtSUatAW8m3oLaJnMVJy66qGZEa8N5Dq2DU4rN+pURKcyYfHN3lVhoFbbmi
NN/0JOl5CHNzlzptf818xWGNzqThQcNhe28KZQHrL9SEG5vyQhh27l3QOBvNjO4wDH51n5lt90j7
h7XLXSL7bOiWvOSa5LTr1uySmR8y66SrgZlMO1YGlePgfE62lHAsQqFPLnu2YhM0giFhTFiFtJOO
y1eWEXWPOrUckQJMBMySYLBBbMQH0j8emE8qvMTo0jqdm7syKZM7nTrW1ms8+yvwTqQB7u3prQVz
vWbb+vnJ83IbClxVQC+SIqWuJC7P/YJwRljKH+NoMBp32FdqNu9kzPQvMtwKUpDBVuvVF8S+kALr
WNFC1sSsJJni2V/W34sVw4zCVE5Xe/FXHSZ3s3zLcNZ4ZXJC5lUKN4xhBbAjtzOBgrnIqrEw1jZL
uVGBmh4YhIk33cZVz8bM0qrBaI63ZbrSkRpMsEjtpOwna68HlZRhlIwzkMvdRKrefIrb2Zq9F6QL
1T12gJ+GY92U3O0MPQmUL1EXyJJYizNY+fikf/KNnSSP0ypKAdCM7ktJi17j7wIF52pv9H0nv88+
Q+L8ACNWax5ceLL+Zx/wN/sAVJDgLxO1l7rHF/RR/Wkj8Pt/9ftGIAj+g8UQK46DiOYDEMZB9l9k
JHN1Hro+tU+2hY/tv8hI7AR4iJNUDUiFI8b8wcLGH1yrFvGcWSHbhX/G/LXXB/8fbJZCCFxrRH5d
n+2B7/5qs8woM+gZD3BbV7FPg7c0xKOJXnSlmUHt60YGePoBhny2hh8/Q4AlIVBW8dnQWXxuV8Cd
X/jgME2vOiAbMAwE2lBugiA3ngOFj8ZPWYkAbXRhJFI53YkKRKjUIDTxRxWvDqP/nVpRhElaxtfa
dPCEV5bP0L2xdSQSU4+Hjlngeot4Tz2NX3/jAV1Nrn/+BhyYVezU8Bn6hJV/McFiEtNDzep0mrSY
7j14/odkhvhpdd36uXjff9gq/u4i/F9MD+/rjE7q//O/f/Gc8o2vSHYTMyM7QI6Mqyn3D8ZWyxAm
M/VcnUYDcCSEgc+E2fCKdM3+5pV+iUyvr+TbloAmD0gLgPovn2wBdru0qVecxrhpt5aUOCswSh1I
52ZPZBycA0fM+PEffzx4Xj5VoFxMuP/Wj/+Hj4ehph3LCu5P760EGqPH9oIE77vbfnKJuf7zV2N4
4QUrN9vz12bCP75aEgZjVpWSQBvLYn6tdLnsJ0+L8a4vwue/fi3xS1Ha+n0SveBFfNv8bwpGJ7JB
KTns7NSkU2FHdhrD1m8a8DyBFjw4CWHf9boXlxEW45HQFtyUrPXaf/yZcW0HBINNTgnwP3/5WZky
+3PZ2/LU9DnwV8Tqduslcfwcegpi4F9/6H+/hlwTZhqnG55bjmP90iiom7CwUbzlSYlleagD3W7x
vPa/qVTl6WluM4AwfhXihvrr1/33u8Q1aXWjlJTIv++ZvxxY8kSOWeIpearGZsBCya852v04Yv3D
2PqPXuvnEY1EJ099fl5h/no4cjJjpMY3zIBRNcmWiRtbH2Xqee0/sV/++rV+WW//dRwktO44eO6d
n0e8P16wsuw84NJcQ8u8AJGpY788F5k9iO1fv85qPP7Dqvav17Fpglxx4lyu1p9vDKxArWYKmpFn
dAdmZyMlmhtnZgoXD7b7lGYZk8xJA1JjLsjcdGeWSfqvepH/r4X/l2tnfQ80gbPQCQ8/JYHCP7+H
YRZ51uDcPMUDegMyQ2MBzaL+JKZwCuRYQMmkZ89/s56vp+RfP/qKFCSSEdg8Q4NfLh3ctkO9xBgw
Uvqa3rT0yjPW7flWySo9aFsxyuuMGrPMOFMLE8GwnYcT8ur0ndRJA9x+CMtzHlfxkZoakqUEqc/x
Io2Hv/6F/rv3ubrbqf1gdxACcfvz18P2m7m3bxhHk9rAz3nuHU1qvgj5iQpv9I6VIZVP1YTh+9R6
jfkVVZG8ik3l2qnPa+cm7GDLTVlg34aG1/p7ou613MKw8ofDX7/Xf79qA5NvE6+9y47E+/WtUvvT
1TigMnK+5kwZaxIwoIZG0O3++nV+ueu5Yghi8JP5PhEibpBflvPMsPhSMNme6hEedpityF0kW/em
aB336a9f69fl/OeL+X5Any2AkoDK+j9//3PQIgxOkuW81mD8gnjYImf0EZzGfI89iqMHMviN6Cf/
3SgrsE+12/3NFytMd70T/3ynBjbOFHoc2BTwdn75zIVWhsWdER994vfzyf9pLe3CyVanBDjSg2F7
5qe78owzoofYyVQqE/45h3DmlVCoQTrGZwTy+b4bQuhAzCUVJ10YHyTI8xKDYtrG55T41uNS2PGP
YeqL12AulutSkEACtq29J78BW22VgXszYKRUqyPHenT73HvyUmUeO6oKLilFpf0WHolBVH9cHtBF
7R4XTjrcldrsPgpmx58Y1uNrayiwv+iD8Q+o0646V2XDuboaVHxcWgTBvfRT5Fzb1+seoc4dtBEQ
nR9pGItvbK7sl9H+KSIgbxMBh7z7oxg6h84k4AspsTKZXhObO9txWVqEHrLPPmXxrtsEBGNtBBYw
AraNEUQ46CBjFiY4OVPPOYyYj1tGvVP7PfBJqFVIoO8BelfwCPaX6427P8n3eR2iYSACGQ+B1bJ2
mm3vvy+E09AhwuTqr/9t69a8DeZXzq7JRqDJflYYz2Ftz1eeM8Vr08zj3c+vN/boLrCq1HxQNtUw
5Hb9At1dJJ59tswyveZJWJIFp79B7QjCsFr1Yr4BOcYKxSTL+FrVOVdkbeKQiKgSXo44jfnuZpKn
kKZNM30mAu289Rr1MbIS5md2jhN1Kx3+Dg2o6dXrFINuWFef2gyBp8RazwnpLVo/NsDF3SeZ2PZL
UA0op4bFd1sC9v+kGMvaC3xBH9JtqFLkpgGMHmfl8uCOoPtomtHTvTk00102O0O69R2RfaVwnaUJ
ms2rmE2n2NnrdViONZT3Xo4I2GnQZdsFH0G6FWW97KuBGeXGp6XuylkZl27M0WsGOD4sDziLTIJ/
JfucPm2ZCUk+AO1ncgSH3HKB7UwQyx8p7ZPHegq4eoG3Tvcatmt97CFC3CL7GM9emvOFmYkzX9Hl
5DkPil24APebtAMj1SiafSd9cUwAhu2aNnYjpDUNPjnFyxfo6mYEshIBrGJaxdzqKuxqOfeN6R0Z
8sbPSefvaqfPPxqvyq+kevIojl3/rlz8Q54tisxyPB3MTNrvTAjoRURjMDHLkNLpbYxd0xJZnPki
4VWAU6a6jByNWT3iW7Vew2y4y5Arz1KE+zRt7P3YpzXABJxRqdGrTV6OjJFKPlaRBzrC/Vps5wF9
z2qdGO3Fedd+a18pELrDuwfrbrDhoc6BE/HAodSwyV68GHbl3Crrhr6lCFOFG6mO0U0elmaUL1SF
UP/ubUPF4CcL08c2nT9DZX2o3mjxiZc2RWVOhScCzodhBl8aj/HIBq0Sv84U8FTrlfW1tJ3zYgcC
qy5DRy8b8bZ7z8MQ39SUJH7p0JQYbc3TOS1KFmBn3SPhAL71MtvGedY2DwI8+dkY0PyXxbtgt5sD
tXFK6bchw9KGdNRvDTLrcRY1SmYVDzFWucSWZ1E7tdjQ+OpfejDAFjUuDtn/YbaWF7wT9n4aC+gK
HfPqm06I5o6NkkMRG/0F2xxR/wXsffLSW+b4NNcu+4e6hTy0TrLnaw7NZxeXnr93cuhNssz0aYKV
d0qbsORF2UVfqZ16DNxxJAlG0MVe+n63Pn/czYTjKY3g35X3jN0WCFIQE06O4bAVsPIafNPMXiTH
R1bllddGHgAeliJSJ4RleSL4SegfleTo03P9YVWZq324mM6hHwdHRVpZ5V1rdq9AAaHHjKQonWYB
9ZkUdSC3DHkduXelVcKrafM9M2f33uyndu/5ffLWyWS8sYHndlk8niWkGQpBUOi/QtolKO5WVptF
A+vkqQp1eraJfSSEv4P2uAwlF6Zk78ARoTBgLmp/V86a3DNILLPshvfewR7TOVMOB6IS8GhK13+b
xiWkq9KlSBXy0LSJ6579GLyvo8LOcDsZjfegIYdEdl2ryOgaH1TBGFJggj6P86zXvykrCHYKu+W5
6eyrXzrmNYw1tBcnFBfHBeQDycI/9H4RPtC+RZUHSSObw79MHcYUWjwbGRQXQc31mR81fMJnsWBE
jAs4j8bgfJsw4z74mCxPiP0tKTOy0YHHJYBRDL4lfaiH0SdL6gUdyJYgc17yua3v4bXbmzIW8hTL
xlrLGbKtXQ5RM8TiMODNPRthdfUYH0RxGVr3mFfp4Gl8+xImCWlrBcosdhuxLYOxPhTmovbF0gYf
yMJVxEJDv3E7ZnYUdDXaew6WAGm2sgoaX4ghJm2c0D862be9GdR35gI0gZY6nLQKln21w8FSoy/K
oTgUeeW/u7nHEKdukpvJcANSU7FTnICUzr91HMcvtNn0D51DmI4MTjhgTMwrnulYRHVU1YN7y4ld
HfLS9zkAiPpciBnC/dCp6yjL4l55bncXtNN0tBuE6CgLEc3RNk8UOhqbAcrRTd1M8VX2Fc7AZCg/
86rx4coQTHhzErfZe57Mf4RuSeJf+ao+GX3FLAmY1qvfqq8lfxrWZe0UUeguEB3aeBk+TEVZKotA
C0NOAVfh4Wp2UZPivnfkQo4jnmFH13LHL57t8tL6NhrgZjOy5jlwC7vdVUkyX/2wrz8ZMQ9QpqRB
jS7PwCa1QaCS/9rS4tPdC3NoP6XOWbP/hTmMQ50DPRz+hUCkI3oFIoIZwXxvOqRKfqTkWGBmoKRx
Y3cVx6TO+NF4aXWdXGWRsXH7FyOJh08M7MF70gO03VTkIYrtBIPH5bFHCS5+eCYi1dHwCGpZFqDX
HfEA2n8Qecy8JPAVrJEu2YCpBlsiInZRyS0DaX/brQEw22rik1sXk8276qajU0nz6oy4Rul45plB
G9dcRkXfe2tNcJ1SCSAbPPkkyM5Cl6rfEvSpWc5myAkBlgSAYa7Vn9wQJ2gkmA5xXRYhq0+7GM/M
/c19mJMkVzwUDjbxhbNCP/ymOBtxwkhxA8AX+9FQn/41pm+PtAxbnGvqKwtym6Wno2fa8evsWvaH
YSnjh+X14yUO5uTZpegY5B9/dnKm8EVUGQLlmsSL10xeMZghgYzshY1xTPzKMym/bR49+xWVn0Dm
GuqLSfcZffkK7NTEj2k8+hhz8J1WSwQ9bE9OD+LAGhF0crPESAtt0/dTvBIVBsGAM/aGZt06CokY
5oXF+N5Yc4f9mkCc6YiwJirFe4KJEHzDA2d5B32K1GIu0PEwPp2tFlVUZFiLS7KNNNwmEeh7Y+vH
XM6mnMTN7BIPXcQHwgHBlroPDtZM8rZck5KEd6anxoOUZZFQucpq+IEeY2/QMODCDIN1hmVq7jBC
TeBL5+IYmowHrGmg5kPp/qAwAAOVRZ7ijM9Th43Q2elrZ9fSE04hbtdeyGjJS47QmkMF2thsuEhK
TR42pulu9ExBrm/yjq4GFmOWAz7/BnIzKCoeEHV8P4nWRD2Wah907W/dGjxVRr0chJfVm7IJv+JA
Kvd6Dat2itkBMeUTva8PvW18ZJ6D/ZmciwnFvlpjrkbzPpbLXU/HS1d7L/RsXVlyGRit0VhPLz9k
k7wKMrM+2VnFbpoSZpCEZjYeUMPhUHThp3CxPS6awuzQEO4LqVq43rX1SW0xGyu667ZBap0KQDfb
0MIn06ubKfVHcn3et3Ig6mv9TP26BieCZI0DL/bybSIj7AHD2K9xkRHv5py8mapN8NjrID87Wg14
+VGh1qyxWHZDk33BRNIe+y69uM2LSfLuuQkainQJKftrWtkfUWd1M/RfDEsHuwmex3HgDHMhQWoc
EQnX23w2zy5i6hevpeckKxsPlhhNzaes8RiPjnI9TvhhOh3qUbCFztbyqkV4y6UbXEPviZ88upaH
v93zyQwYqmCggzOpDcyDNVijfdMFJezBTZMO032BBsbfs5pcfuD59SiQkSLuTknZcUX7pK30hqmm
A+nGlACOoPbglcvZDx19u/eN267vwAq2mNmajREyNPXakSMntM1I91b8HiCA/WhjjxuQV0VicOEd
abYiHKS2VlBzLEq47PttzfLCnGnVNOa6j9/7hANCbDScMWrLvZHZQsUTz7jXoInnK/BqTskZRJBu
bjzzVhpuNuy6tVuk7H2WpbGVdgSUktMJeMzhN7lY4530ZnExRU5mNQGRnObUuiRoku42gbn6KFq3
2+E95SSSLIP5Wdej5167dFiPvGFXz1HqqvaNWBBbh8LwzIMSNBext+dPw5eCmV5zQN+6c0JnofA5
X41e99UrSmubabZ/GydV965eopy+hVOlEhktPPJPVt7yICWgjY/PZSjQcsgHMsaMYFVqfr7eoBxj
N9eePsUeTlzOCcPBpPnmy89/BVSh9Wh6HPt/9sr5rrscLQqWPtqy4wxGxw5TgsAe78aFbY/BYROt
Z6m8pzDny4TJ5QLa7Jr9z0ExLExklKkOtn3O3Lgo8R9vsiwNQejwFsuU2hlv6aqDV7rtW511fIBM
8hdZR5aHlsHLvZsV4kvZm/zqVU4RIPZQfdJ4ku/zif3uAvnmuOQ9PYAKTDloSj6XUzILVy7HvmYA
LI3BRDYHtmqc7XvyH1RD5/GYw4BiKsLwksUAJg64Tx1i9RrcBqyyWZZc/zQ+XQCuqw+Gfxnl6ZKJ
YrDchFq3ONWKkJYsnh3YuqoEb3CX/yd7Z7Idt7Fl0V+pH4AXeiCGlX1DJskkTZGcYJG0iL4HIgB8
fW3QVpVEyVL5je3Be1pqiEx0Effec/ZRyr7IiJI7OYZycGVNTMgwfZLvOqX4DLjvNHQcG5lwBayp
I3WxySZsFi1+Ggktis8XVcGbhhCPpghl1k3Wz+ck65myMW6/4VoN2GZIKHJpUr4j/i7Nwii25dyK
a8HlX3pjoK6mTPkY2ONp49rcAZ2NsX8h5PwDM+yLoSm0tcBwAfyvpJ/vEZcwFJ7+QOTTBIHVbvZe
Mf9p2XG2DHfghjUsb7yU/KD1ODXCWdVK0x8iw7Fhv3RgXOOW+x6jPYl1oM14IueCH3JT8DbBCDnK
hJRCa+KHJoNWPtNKLEgpKUwJlX4wLoShgoOMgvI5iEh/nJVKFVQjHmHb6plNqi4gFcMon1PyDvBT
DJq1GFuZ6RIXfmCcKQ74hvgqaH8F+DLYAQfkODLyNy+oW5pP5JDyF3IoUoe+5DTJlrw+hSeVnRYf
3GzT6I98yqtn+NkceuhbeYAxFew7Wq7EG/vw0AksWIY6Hbmu5t+JBuIXL9+X3mnx6hkxpUdXvRa6
L5aCYd62lU1w0DuuTocR41M98AQG/SjoWBTY5hvZrcOSmD+LFvhllRNf1ii0UKRBTMYxC03jqgAF
cnAyi0/eUfk4q4LX4VZHVYavo+ESO/NdoNDlXjjoQGYckQ0XEgtjg0675y7xJv0lJDP5mVGkVhKu
VYmtVzZOsCqpTje9zvsRa1KxJTVeu5soCN68gFB1xOPzPdjo4OI8jMeHODRJsfOJRd2hRvRXEIUo
+3w3kp99lzoZf5IxPLSgxZ6GOQ1h0bIhb2ilovOP2FawMhJseGG0sjhFquvvUK/7f1TSDt5itNoH
6URoIUPFymTHCu+e4wEXI4692UtRB4+JOyfc4VRtgpWHNUqusir+Emf4r9DhV0IHdARfNc+/z3/K
nl+e829VDu//5IvIwUaTwAjWZmCH2oHB9v+KHNA/8ACZFtkMpotJdp7Qfol/Ig5dZ55K592yXapo
5kd/yR0t/TfTRK3IBAmPxj8VOXw/vUBqOX8KWOQmc4wPHfbEAHDWWra24yWAehzrLd1TYbd3X52T
Xw/2mScwapvjqjganvaPjfzJaCFFTCD/28k27tISvbRFoX2VK6nlvxhZ/mDGJZBuzNoNpqN0Z7+d
XXAtwGlIK5i7XOKKVU9eugS2HaD/DFTWWOt+cUBwYN/NKTwSINgBG7bP2143vj0k6nsaDx5hG2hG
UEMGddldlHgjSkhwOZwfXyhxr9MEMTd6H0oLF1OWjFu3VOy3ayfsl46UsOkw36OGTuJmN2caA5IQ
DfZx8J0XtUB7gelEbNXUxNvcHeniB0NxGBsjv8nSDFq41nS/G7BRDkISVqwFeXwKxi4+odZ2iPgL
GfGNtY6SNWzHdd21+Y2p2dNnwfJ7H6U2rYEqvNT7MQakm0Hqqcj8ndjhXDL7dv1llFj9jdn2+Rs7
9/JqslTyu0nPFuUr2YWIOwvqMRo2LCJqp5cBse5TbQL9xTXf0O0nVmKo5qDf9ugZXXlqKp9Ihyy1
nvUshMPqqhqTuaZ29Zghc6MuDaAbaWb5isIxh1ubDzdo2amq9VrRXCQ6BgCFiWY+1YSiVR3Rxq0X
2FVC1T4Kx3TGlrlMhbyz8OgBqYD7fKlHJfxA3cqLl77xqseEPfCnRKTmWYS6wPOntyQ5Y00EayQa
DzkdjAW2HEk8bBrp464jNjV6SaNsZi0Wdnaloy2tSLIPywvGVD1EkEIxQ5qyJTjXZmWaGfdegjtj
YceJcxVbbAaGmC7WkIxneqDuujX05jFH5L8pB72DJuKC5B4wTP3R5Hm0jYrodZzxTiF8xyO6DlqH
xuRE+brl5ESIRy/rLCdoyzJJhSzi6YL2ld8uWjzye7eQurZK4wT0jgZYy8aqCkNAt3dSFe3aGuP0
Qk/C/o+wdbuX1Bgxd04hNua11sXiwCloV4RgvNZdtlSGak4QpJHte9kfusWySoP0GGg4PtI0/F20
7AVrFsmtht1nwbhrYD6FIas0bTKGgtjFr9gdE62xUfd04Ui71k+eGXxC1dS8JwuSMrQrF0MyfuBz
oIgHdaP2mvVbQdrxPZtbm6eHpom8BLZKbIAhPw/AtzdOo3WXqVlML928JePKOi/VkKZXsSjMVTp1
3ZlxOzOvzj/XtYjXvTM90C6xTuaE3tMcp/aEFWRaK0HAGJ0jtIuGkBjl7ZsCA74HbcncxcQjSVTd
oYzGV/ANuPoC2fflyu2hGmUL2u0osqc2kas0zFNnzaaLPtqY1ZSOvsrGYU9TB/sIweu1rtNrQ5l6
n7Zq1kNjCmoV5hytBE46koF3ZzeJH+LLMsB+SHXnjR1WaCQuIdXPjHjWghQ8rsOYZd6UwKXGR+t6
DwMGOn/jjanp7GmGtsRHZtroQwZpY/SulJ3uJkzVFJ5l6vA3LSJvw5NbN5RgZd4U6joki963Fvhq
2+gogjmTfkGgrfNoVtEsWtKLmf+umkGY90mvNGdTD8Lx/gD5yoWK4EhphxTIaN/cpnnAgHNriDZ9
ZNqZ3gqZx9tGL3gNl7nn7KTObt8DeNaQl2ACKlE9gz9nkOyU1CQVGGGNssjpLOugTBjRxjA4OzPX
KPVojmOVQrZvEMKO65UmyvzbRGEEt4gG1Ktr4jHHI1dUDB8s3D/ZwHFprY9Y0Amvr1q9OMSDEusO
ihF94hrsG9AZVR5r28biSWAvBbnblqRqxcXaIaKC1hsBpQvSepA5B4F4Ghp+VZP5eYvjOYAjgYwP
I5pU+c1g2dVn27X9Cz4ISeCpaZfHCvD2tOpdJFNrhPvl3gfSekWQhPucIXWlDs6ksQlaL7/B/4R/
K/VzPpvmVvyZo3X5m+mTYWzRYbpG8e5OKx/p7m2YRzHDabYRkMfK1MUdja3pfR3/dxf4i12gSaYd
4oS/pzVexvOJbeJvbC9//qMvG0HyYAQRn7QxUbqyg/gidXV+w9LyMTxGJxnUMBAGYehmXzYf/Mv+
z2VriBBkVoCx1LC3/Cf2F8f6oERC1+WZhq2TP+pbnuV81JU0hpvUPcHMB+IlQAFnGRqhbmEngQlI
ybXlox7m3klznPLMVL04MU7SMJXkugFvqE/Whhfrt0mXTqRnmUN6xfQaZ4arFdSBXrOFt28duoJ7
Mkc1W68cH6PLogyEzWApVd5mjJzoKIlzuYBZDQAB59dFxdvt2sMEsM1Zk7czrm1rpxkZFHSSghUh
wO52iqNmn9qWe9m3zBUm5Jza0urJ5VrkyjeP3lCqJzrFIzsDUrCQJPZym2gm3cCiDM4lzzf6fU0N
+55WLjTIZy/NfNw/TLsWzeB3a/5CCM7bHTZpMLhXClYj7G1XZASWENC1h5xu7zALaa8zsufNq8gq
sJLC35dMHj+HAy8rQDWVcR1HVb/l/dWc7dZmUMjElBo9TVgHGAJ8TnQi8qDmTIsqQwLBmyV0T6gU
wmNbTRrrTAg8nLB780S4fbEf4xqU/FCfE2W62zTy5e9R1XW3Au8wFEdtal7sgHlxo6WpIM/VZoDo
hsx7p4II5t4vyPdLPQyAtDX3kSNmaINpNM/1OKgeW6P65NIs4CQX2Qv94W4nphjIjx3Hr5PeZxex
3lxpU+gc0qarDoSiTYSN4OUtHK/deFAdzBVm9hEWxtibEKDNMH0QscBbwlnq+Wm51m7MFi/raHgM
cMvc5YsOoNFaI+gviK7AIu7o0Xaog+yuLOzoExw9JAOqqEBbjEMJpM51QByQs8BeLmKLii2Je29f
N9hqepKmIV+WOiGqWEmDTTRLpbIQqtESuEZEPrQ1Q6rFoN7iBCcuWiZ2TTTD24nNd4QPxMU5Ytej
dxE2wJSdaUQr0Pj5ZdVpyYWpWcbIDELB4y/t0SPGhOTo+4AIU9ZhoBgvsINtZAeVA5Uvg7xQQpna
TbD4oDR5NkocvzBOU+6IG5Ic2XLShK0ids7RKFdu45yY/MhXAtvTvd6wBik4ANBp2n7c2oSXH6ep
c1EJia74XZRJ8KABX9EOQU1gyVoUnoHfB0XOjEzqgWAyTVgTCmM8dmTiFsSq1f2NgTmaCQJIFlEp
4zmldyCXcuzGc8vW39/ZVqoYqYJs38Xm2C5EbuGupJ0X0YcLDOveknp0rPXIfundWidyx+amXXrN
lO0qwBRPiadDhHCGUd9jlhJ3+FNLRtYkxuf0ZzMJZyVsy40fFfmzE0bi9ya2XzSdZBm3aiwwVe74
2amaETS5YZTFOvCD4oFdamsssybpPC5W0Tx2HjKQxeglMECCslvlGtYaBB2OuIjMoVtVXXNjtMyO
FphrunWjg6BD0m5DV68m4GkeKX2yb1eDXcUrG8MvJJKuPqSlQVqM3s7EvSjx50Ij2ZaAmZJFY43e
kqGnvpWZHZ9NqTnbMtbTAUJ0FxC/4DX6o5lGYj3BRkHIoSPJEWS/JFsUzxlprFZ9gljYZ9hyre7M
6M7mxHokpLNFr8dFbTA65mUWkLYRDoVPAaSqJ+mNVbOzNZQDtS5CpAX62F7ZbaO9lo5HS6s1Enk9
1swiknSKBGVnAlNd0PPaaCCunlw8+p8hI6rH0S6MS3D4ASQgBZ5wYTnUrGzOrfoqGkVAZoZZ5Ss3
UsE+MjVwkoZe3QIXqlZ+KtSxcSGE5QS5r9zCO9jV2BEdXGQ3gsCLlcRcvwfiGRLJaddbDPl3IejR
bdsQcRtjtQCJAzzJQ9czFkvRSXdd68P0x2TJIV9LgwSf0upz5koRhueM4uBqwJ0o+6PNFrrokP2o
Kv6ETjYrdqNn0/d+8McUK94iaiyj6x6Q+rXJFbQsbWHOZkYDvPsGrVVzdvNMP9OGCXFQCuyPsxFS
huresYviXINRPveAGswFFW1wD46jeCC51kcl4xWKVGJMloT1sbtvZ+ulH1fFLATJr5H715t2tmh2
cWqfRJi3y3I2cCbvXk5jtnUO+Rif+tnqCcwY16c1G0ATofNx3VRj3jP7Q9vZKqreXaPGbCCtZyvp
NHTmJe09/KXNbDW1Z9NpMttPw3cnKkGN0Wdr0mCyaWGf08qvy4sRKyQRjFV1O3GPM2bK9Ncqricc
741DnBIWxiGopye0LdCJphoDSWhk4yaxMaYPRofWDmzjOoVvT7pObExHs5u8PTq5cpmr5LrO+oaq
w7SughLxKS/ZNDijN9uDAsICO5RhuSwm2+NZ69F1TF5MyJRb3AHEp52dTM2O14W3TepGu0pTCrq1
aSrnJgP3RmaGHRNCoymNnsHAYMzRu/EwTt54Q6iU2opRiL00+va+CUoCPw1H7mYC6DgTL4GKVKQC
cIlCiXYbCNgKHEGklr0l6htlQY0gfprwZajV0COdWN+hP7CZi6LLnDwx7AlbYzJdgVYvhP+ql7F4
NVrLBC9Mh+chJlzoiXi6dN+WWrUtrAg+Wyx51XD7RSzSdka7l6g+bxPLJL0OBFuQyvMQcnWG+2iC
nr0yR1C6XTS/NEF5mPF2UsqZ1g2e4/K2GMVDTLI2b+yIqJ8juaK9sdQLn0G1RMX2GFPy3ToUU/U1
yJEYwKInSGKasAM6JJMYNWRNt4tZx4j60RF3IdAjJ6pA/3NRmhPoRoSg8D/8kRxXFFkVcPFlVBRz
wHWobibDLJNjh4IoZ8KqRQ9OZTnxs+nyiC+JLCLQtKH/FAIIdvH7uZcGxRjJp+WfOajcsiYjP+/P
jFRyxh7Z9g6f0lQrXhM5INXreu8OI0F1qOv4rp4TV/M5e9WrWxyQvcwJBxnOLgGtvADfbAJbk859
nLsqLxbYOgQ0c65r6/SP3nukgOdn1/DE1srOtQsuDhyNORm2SLv6zZocMpsYjsONVLXlx8T9xtmu
QVZ4YzkqHZd9b0foWEFshHe+S5pKPpnMnFBYMVQo1ZxV+2/1VHRxN/6iegLhRr3z98XTfzfxVH50
Cs7/5K/SydCpnShRLDxGMzpgbul+IQYY9NdpruMUNKD86LOH8EsP3ZsLJf29rnn/E37glxrK+A1T
4WwURDmD/8v/JyWU+U6y/0qmrgtiIizsHDgq8EFRcnzb/s1rD85b6ir2rsx1a3fhqy4niNB33FI/
omD0TaK9aq+b+i1Q+gyzcudbrrFOC2yAKPvsbiK8hta5uWZ706DOo/GAR9e/hfwKZgVQL5w5o19W
CublxrYUjDiaVCO8dqU00uVwKeVy3/QZ2XXEgnfIvarLIhsTUiplTDNQYA6/cIJkONCSlohFABBe
jjbj4MSqEaFr7oPWlnKrSumFS30QK/Ksq4skb+k2JwP1m+Ok5h2yVFoRRMnxgha5StHyNFKslVXX
ihbJRMvbRdt5nlLpPBN/SzcFJ6C8jPUoaNZm1NHPaTC1o4C3Qj3bEg+TbQfZZEzsRIkYJA9r70Qp
I/Hiky68rTWtnGnTY7clcRmmtZZpGWWVne4qZIsblhMPTIpW8IMLqla89jKQV6YTFI+dGo2zQiQm
t2UH9jNqW/psOOdN+pIhKvw2zRsQKrV86Bp7vA+m0iPcJqxBhjCaZ8oXNA5f1A703nwIIJtcKMfI
tq3pNmvbSEm2IVvdYPfVXKiyNMDI255a664FWZRF2tljmfTuRUKIKEhw0YIYt+tuE7WIA1D/GjaI
cTjnN6Az1yYNpHxrdVmwxC09TDCJ2efGLbZTpgO59BY+cLVypfdgnytX5rsakc8KklHvb0yl1Fp1
uLHz0JThZjTR0C2asAJ9w/ZCMbqM9efJMWhBOTyNVLSzfAfTwnOO7gdCQ5M7274cqlsEWtERWlL2
QAL8HPUpISJXWtjtMtKY9ZXZoNtGqroi/Y3wYxhT9bKKMoz/ujEYEkw8YvFRhgPh9o24Gpy6oifc
gAus7fCAiWGgxrfy9NZlsUSXF/W0khOt3EMQNvdd7rH5JMz2iaehkZDuDfES5BIw09h2MiVqrjbv
gizu96rJvY2ZSQ+eVxG0t74tX3E6arN0e1oFfgOCiScAw4xXWTnwq4GJcOj6xkXuZvYhjRz/cR7J
bMmTcdlSt5NhrBxpssDQXbRWbVDfOXbWnGpfn16yLg9W9EnGe8wF+S6YaGsuNU2nbAWhSrRjpbVX
I9apU+0kyCg7yLMzZAcBptOm/sqgZfC7GwJlRTSJLgXu0qeOtj1ogy7IzqkNcrid0mpL+MS2K33u
Qy+waX6in7txorpfjtg7xIZ62FS8WQIjIKbAh5vudNVVkwdi07p69rkw0nHPtKiEulzPQU6jQOjd
vSZ6bK8sMCHI5GJ7B3BSEDVmPmPj+QRikCk1NothJSQAjnRVWw7XESF+TevCvVYtYZQcNnXcfmz+
XRU//39WRcpLl3Hs3y+L56j84/N/7dvsufjjm77in//wr8XRM34zmN5CFXFJdnnPbfmyOPJHFLe2
TtuMwevXNB0TDz1Llc/dPo+k53bkX0ujzY8DiGNguTL47X9A1mFf+2Es6vOfRW42n4HPRXzTt+ti
jVgQUjFNBM1rC3DrUYkWyuzideiLfB2bzoPKpbyk8AFZ2FcPJNVqe115J7MkSxjRdpQCp7fzG2YG
xXXW6/dOoIfsz7M62ZQ2Ko+p16x9Q6zk0h41b8OLlmej9U4I8qCFD8Y1gQjNs7DyS9DSl5amtkFX
BauuIX6iVznwU96eC9nEb+g94lPOeVzWXlUs+qKsF7oGPothE31CfTqWQr92qQaQt6jnckB976TN
erQxzjRd/NZmMN5zKxzXXumfPGsgqcEDsR0WbyItgIbKcwC3iyFgv7HN9LIfp2sb0rUe8reahDjV
KH4eK/SvZT29Ol16YArwyoL0UI/tBjh/tmzyyPpEPvwubsDAz5PKdYlyG9m9f6Jv8JDK7NnTJ2Oj
h+qsN+nlfAYYbPgrmqdvSQWCsA1hzVvZWKKtR+jVh7w9pZJ3oaXOPli0JVKFEF6WeKXMEVsjsndo
uo9pb5b7KcvipaZaTgx6N8SBBzPqzeWQDviHxrOq7IfISg/hkD03dfJMtvjJi6zGXbh2u7b5QoDt
CO8Yr+2Ma0XExqYWGMk0Oz1MNuEpQxfxxjYZ45glJ8qMGqxOgPjIPNCBt6WMXnpGUQheIS6G2nwu
o/y5N0ZC3cYpXZCPyESRY6FhHgmCmHhv6dedCWElmo6GT1AyUaTHyqMVJdPozcr4a44RX6bpcDS5
ODtQSS5gHL4hjb17QEgB82o3W8XCYobaciD2UskqIkmISObkUI7TfWPXwSJyhjv8hqthLOARUwqu
CF19LiSDpcwc4NlMRxaWeJlE5JCktfcQD/qLX1tXQsXG0lXGvGLvJqdvCG2Qd1Pt7OK46rhRrR3t
d7A8us88GYfAou+no1uOjN8g0MDyQdkgPO6EgRkncUQEBjLUui9C41VYcBlzwuoYWGYH4hXvGPFh
hcvecj1BHezSMiOs4c4K8C+lcYdhwizpXLlsKA2yUeHkc96NwmU/Zj+UdQFg3HZOlWN7m27+d3PJ
GzGqJRXAfYi9Zty5A7ejZgwnEI7VE6QlgWMnIkmUNMAbMsAZow0hIMraxkHGJm9Xe6M81KUj9y2Q
pf0gNXoC0Zhh96tymhrViDUxkwgiawCnWma9dkb7NMrGvTB8XH/cNSVDzVVDgmeyEnltrbx0Us8B
Ui6NrZ6ZuVv2XMU9sOl78mGYik02Im3G+jErZHCih/REVw9t2JCth8gdafrFdA7HZl3bQ2TQy8ZL
AVmuCQ8+u8iF69WnTIuuCyxTa3Kx70uNvU/bOw5gH+d5KMbmtSgQ2+FRjtaZW8MuGtkkzLRRYtdB
qI7ou40Owm5YcPtPiflKGBSTuzqnmS31pTuYxsbyCHfhU5A8TeOHABtDXw1QJa5AH/TbAScCEwTv
wdNcOku1wkbSvGmqOdpuevhq0fmBduejnsb3hYkQiSElCRGUWR+qmzhxbXyJaUlUigYVra87sIfD
KXbqyykw3D93A39rjGfl+cbyOx8NIAdKPTQIhv/RTo3iri/c0St2IY/6it3MAf1EtHBBf/3iSLO0
6auqzeZIluX4s/ZJhyLzvnp9ReNQ8GethOxV0nrSZzHLXufXcWIo3FOIJ8o9v9I3Pz+XH9ED78f0
WfmpO8lS+cinCK1CRD7Wv93YOdEadeQdpkyCti24ihrOwvn7Ztl0bFrebj8/tDXrnr77vgLJmOcx
mPTsD1IvsmXVBNGl2LU5NOmkzH3EpASs8bo4JmWS7nQxvKp2kJtUSXlIJJmljSBpqUHsMO+Qw2I6
ol5i1bWcnRA4iBOaJhjejsrl9Q2uByYtjsq6TC4Lt9nkjjwPeXivI1VZuYN96hF0LxnfMM1nZPIY
EvoCAZbXw8+/6Q9uIVrJuglBYvaUf2QrmLDLcxQnxS4y241d6tek+l7nE+z6XxznR2fUNiBJeDPS
mEYDZ/yrO0gowx/4Q+5VgZYAT9X1aMT2GuG3tShckawIT7nswJHe4A+4JhQkv4HrQ/74FL7Vkvfy
vFVJZuetYQ5HgiYJ4FH9HRL/EwOZLZO9GTAU58swjNwtKtnhIXTMcUuNV62HeIyPPQOic5EO90PD
sk/AvX3oYj9fI4kvj3YRvxEo7SIPz95HmuV20BKyi6Z7H8v31LUs3pW1i0ZnF0Uk7oT5FNBCHY4p
/jycMdM1ufLWwjT52SSGPzXkjS49gz3Wz0/kD94waBDnpitgAxO5z7fnEdAD01jCtnaTIlGb7cTA
mw1bl7sAQ7j7+bHYYX/3FDg66xRyIQ8R2PznX12zxiRfD8ZqsXNSyTg2PpA/+IsX5vuT9OFJYzpv
kp3J/wLK+nCMOKqhKet6sSthz27aGEq4HUyv85s+nqyRRkZwQAmC5tI8wfKOiGfODtoQfKLYf0Ez
jFE4lwQ/ZYm1g2bGIou+jVSjnH5r+Da5ylpTz6e7zIIQmzgWwkF9ai+y2IW0Xv3ud/y22/rhHrb7
uMxg7i4QTGLlE3W1MRvY1vTDzW0/VDhOzPjNKbgF6zi9xMJ1QBI0ol5O2KASDzE4BmagIsLHqnfn
soCiCyb2+Itr8oMnlmsh3tFdMGYc89uLggZ6Vm3hzDMyCgUZ5bgHOsJeYfrznRFFL2K2W6ts9E+5
41bLgAYKfpz8qku4l4MUsZpb9BsVTBTerlHihdcfcPFYK1+nO5RK9xT0tHaA8YM8NpOV0/AmqiBp
rLxkvNdN9Yp0ZxF78e1gsTtkWI21RsO7Fen3IxuxRRVE1dbKGEBU6hxSBi/gdJENU82hf66EFIF8
dpXj3tsCm78XFarTn5+kHzwkrBnzf4YlqN4+nCNFXyzrlCx2eEARtFF+eIqPY9PnCarwF1cErcn3
zwntTIvXmkFj9btnsrat0TLtvtg1ZlugekAB5QfJAQ3lThhcH1jPpFjSaWHIyWsqSdgBhtmlm7IB
7MvAhW4tKogAsl4LpJsLnOn4g0f/pU2NC036V0SEt8sIvDWxFdCPrap9JSXzPGTjMccTtZhvs9BK
nzFPsktlDpkQXF33UBuIt1yyXV3LLvE3HZf0vbxk4GpB0OYv4iU9uBqo5YQYoE0V9N0iAxu/H/zh
+r0ICoqhXKkuLUn7U3dxRyHpk3jIKIxSz5nUXQNvfzHagialvDNT4xoLxcGaoRuG1xPeRjTa/Ast
53cCOd+QVQ9/025aYBfpZTs4WFHUHbZACggn1XieKm2Z1eyWEIhdDjUNIa/ibzea81ATnIAuEWWb
cIbXputWqucEJ1l8GVvULFgkWTIy+yGJ5FlZNlHI5GhIUrk1mRymvK5p9PEAd112oCje5gErSwz4
hFnXdO+q7jIznKcIYOUhNZyTbOXKIrhvORdGeIoZztVNeYSSe8o6+8FsUNT94s79wePNXoexu+64
3FEfJUbZaOHotp1813rIJlt5bnXWPUmZRQZXspr3X++ldtkJY9MJdnrvz3wRdZtRYYqFw/ta1EAU
0q5A4pCKlS8by1tlXVijXfGLtRj6cQf9C3N0jJEX50q8rossfAXLIS4Z8USrKWRdJARQXBS8y5eT
h/RT4x2TdOM9Lg3kKo2FjFeP++UQwmnNfHbWIYUh62FEHhsDMrbZXtLfQUGIFsB0md5Tkoo+u0QD
erYxRW9Let9r3IIWJqDpiIvrjiwsWOuGNqESGV/dFlt6U3Vnj+pgl8buCcszaU24PiwIuvNuvvO+
rK//qvZ+MXcyoUuzZ/v7Dtvlc9s+v0Y9Dtqu/abF9ue//KvF5orfWMXR23EPW2xSBAv6X/MnzyKG
2SU3mXekO0+meI/+NX+yzd9mHB6OAM/RqTZm08P/NdlAWQtitRnzCNR3/yhr+fvHy/DmUZZjkN7M
p/uwMghrdDWyCCpCgbI3ZLB4CP0SvYWv/2qj9qMjUS3xCFPBmIA5v12ns8IubMA0HMlkpc316qkq
ymGhgqhffnUdrv/cLP2EBMnpMjyOAc0BwSTtw/mTfLVNCzstgL0GqqRTaY83TL9qZU7xTVrbPz6Q
DwqNOSGH0znWtweSXmaIsplgorTpW5qlb9Ch3xL+/z85DGWC4XHFv7tGnRuhT3SGCiI+PSHh89Jm
6kBLZ+B9888PBVwOiB6Sax8R6bffKERsZpcR30giQ7wAq8sYqzT9i6ZIfvGl5p/07T6XAp1xqMl1
oo/8cZ/rSfhCnVDVLlIs2IwGzgxZ7g1tvK8kZeLPv9ZcTH13MItmCxwwINwfWaR4zkuezbLaCYjX
K48idpdgU0bqFD/DsQLtYMMMRZPZ/Sfnk30QbiIPL9bHx4swlt7M8JHsqjoub3vYq2gHNfKNE371
8+8432zffUcHwJvl0o/gqf720k19gvumzKud1tfNDkTMuE5MPbj9+VF+8BT7jND+9ygf3Er0KOjk
9BlHIXANn+Zwj7akOBTNf3bqvjrSh/eFgsFZyoIjRVk/0gJInidYUmxtfvV4Gd+NGoQOiZN6X8cU
ByrvQyke9irAOtymu46IdETybbmAvwDdzLIfaizsO82q5AI0molVRDhLJLW/qPoIDfju6iHG9slH
gFpom981d1D9On5eMhyspFmuKn1ul9HQH64nOx/XItDLFZYig6634+x0dFKrJLPE2qrt4iBr7H4E
jnnD2h/YijaYqF69iNrfA9+9n6Gym95L30YaEftwMuQlCWLBTL0hSdEUDCsQmdJFjtD16SmbYEwU
zs4b6vxmbIT5KfVo4DP+D54YJY8rldPtRrFKIvWI41YlPFKpN7g0MsceRx5IIX8l69Ded92cpZMS
4tWBTLtFAGsf6Keo13czmjHbzQgH4CgJzgbQRsztI4+sHwYjmf6SpIiy45bPo5ng4vOAL52CudmU
IqyuQnMqV51j0wbCr4dzwoBMS8CW1YH8CPCw1eReksPFAEMDBbjMdb7d+4YXpFVHympB/JbH+y0K
8Wa4LqsQ8Dq2kFjbgclQSB1sVOfbpJnKIywbShj8FXDAaV0BCzc/hZF0jkNoJASBlRl75RTBQWtV
j7Wbm58CvjuYdGVUj1Vu9xOfSQYZGbmzCcSyRl43g2ujLdZs7BitwpyFFxrThhZ3TwGn5hgldXXl
9smbbnBN+8Q1P4FzfhtaFdxSpJd7Nb+dkSWUx5Hee7ppkGbP0mRCnq5RaAznZIjtPYsKPdfZNyOJ
CJtlJRhBiO3DuoIlzFrYfRifQqsSwBcYN7lYzU8QvjiJfYbzDxUnsQfvT17WhjDG9MC/QMhRrNOY
kxD0EYgEG15IXlfhHTnSfKXQi9MnMbEVzWuq5MCJyF7LOuihy3Jq3GwbF2hbEerKSiAWDeRDFFSa
WJuGbH0QR1DdFi7pjxcaVvtPvlY4dwP8+TeTmPID33FcFx0vb7AX9c5mxn9f8nDfWbCRkqWDUJfy
23YoBEQUyXKD0FJcNPSqyBU3uQRdMJCoN8ChLBcaEawAX1xx31LHrCobNAEgIVbZaRQ+svsK0YiT
qSq67xBJyi0K+ORZKFPb4KGWl65XogaPCXPHlh4MZ9UI+TA1U7p1qr7LiERqzHhDLwGV3pT4KdVW
C7+EiKPUeJkE8abmxLNlE/lkrDLltL9LpL6PYYK13xszXuOYcZxFw6TyAMuX6gpikLY0Uq4E8Vbp
Ux2axWEIwmJNmgSVbZPg76FMobduHfgg+I9C/LLa2CKxiXI3OpGaPqz7kF5DonGFeovVF/ALshi/
QUeDxuI2kQ24s6gaos9FJZxdkRKIB3gPH5pt9A9V+z/sndeW20baRV9lXgBaKKCQbkmCqXNQaN1g
dSsgpyrkp/83WvZYln5b43tfecZWi2wSKHzhnH3m4WCXNdLhgDh1dM9+9bqe0xHREC1RFFuN0IWU
7C8dNkmUM9MD/LhjVw8vfTIzNUMLG/YR+Bmext5d0lPQCGSG4SrXvRo6FRBIyn0uUTdsrMbL3/ui
WS4YMe9hcRHWtTB8Qk2aa9KLUpQSCF+4qDkVp9uEwN1d1We4Kahr9y1O1hC31oySqWE+qbM5XBSn
G5id4fC61mskv7dVZs+pNvwbf8yc52LS/p09dOK6jkfxmMnIPk89V1TOgfqxD1inmusadKhWW5de
uI1Kvw1usKqMn7Sh4KfEmjMnkbl/J1yGx9IkTtPhoFSK88NNDO9uSdEIWbAid5EHwnDjkHd9F9W5
uhRjz0n2WuzBomrhkbH5yQDWIjtf/YIjL63qWpGf4ndbdvXjp8SpTgQ6kIwWkEQNT4IEvrS4sVkJ
75PR9vkSyuaGkDJK+9qqLwrBHnQ3tgnxn6WQ29zj00mjABCo2wvo2py6wC2futwXX8yR02pYrxGH
BfF1HuELzpwp3g9wzjnjKGY2htE511ns7MkRW7ZDrQjBthdOxK6etjgL67fpxCe0eFEFVctTWx64
aGv5hjO02kodY54Gj4Q6RMw7qgowcF/e6Z6zx4g5PcaAmz4fQIIPQd3vbXRXrBSG9Jq8bfMlEH1H
6jM7kLzub/xcF0f0LDh2EtYFJWlUV51Kb2xw0B+MLENqMyXdVZQt71PTHt8TVs8MZ67JIVmEc1zA
44ZV0pY3jaEiTHJPXqvKXWonX2uy5Lbgn95yP79TgwlqyifuNYlL+GJkztzIWUPSqsF/cri/GE6N
98PjoQfZVJ6MNAFdWnHyKgb878zSF+Aa8OaApiC899shywq62S98B3vaP0Qz7rRKoSUR7nMx9cfS
cqQ6VKj0LZE0DCx1kOFiwHhVM8y1/JZLJAvKLXx/pKxjawKZavDrVLlCrTYPLVpBfEIpMaPIicyN
E40tyRul9VaXVnlG6wpAmmVDs639vj3bhe53vShnq9hF7YSg4GIeLQgxPHyK1RvPtC26Z/IFbxKO
S2IcZDqUyRkpOqp8JtHR4J/lgKt7E7k9FjISvALVY53AG/xVz1nib/whL79gdyHAJ409Bm1eI6Bd
BUy47NYxIYZOnOuz7+HX3HaMuG4rF4u3ymSP0ZZJdRZ2eL4km6VeoALW7Hj93My7LSyOhzGzp2LT
CExMa30vEYCsW+NqFVyAzXmRfg/iMcswTtnYS7CL7q111czBMdwxYDJWHCmBzp2H2sqQLFC4Ty1M
aBkU1b7wu6PV9l2I3egZUVgeeqSWhxbhYzu0beJDCYbluucZja0yVkShSatnRFzYyzW3a/wpJuSh
3+Tr8KnwoPpkhWGc0gmn3d7DDcAk0+X4JoO8B7bnYTobZVA4u4Zf+JgjQim3Pkl0v4An2z8Vo2tB
DFzCITDLZHTxQxfYTCmkX5CXx6Qs5ZlowvJrbbd8giO2D4hs4DGnsABDkBFlK7prAnnontii35Do
Z21TVZJZWVdn32rJC7ZodTSeB+h2c+9cSCtljIZS9TJ3kR50YLmaTcd0/RijezjYE50SXpgyerDZ
8j7bLukXuFGW4eAbwrubI7Sum2ieindmmmYfX8/AqkJnux0XIkN/0VW9jsb/1FYRBsIoxsR/SYSY
kD80PMRxx7LXZnEEx8XZa40DW7neRFGpqJk6yuzr2TaA01kLNVYeMA7l8HMuOrtEbSSCX/XNP1gu
VzGUybbLZgnrrLOHH2YOXmzFnAe8H1WKd70Jyzjn+TJ6KEaK/j6aeeT/fcf3U6POxYDKi1cSK1H9
xwGsBt1UxmNTAEKjIK0ilhaiojRhsVNfGHKuT3//ej8BMfgNBfwSJNFAMm37x41epSj2UCIUHK7Q
kDacmPUu1TCudxkXFoj5ICQtnNrY8cfb10cwUHPhHhILKUwiWM5EeeEgIWqHwwRC4BdXxE99dgCu
w7cYSHOH8Ln80C12sztiphbpMaDfPjhGjClbjr+6B3+aWPAqDCos1/akxdL9h1uwT/shcqs6PbqS
ypU4RPADDVru1goo8t28xgSaUblDLho+/P0XYP3cD1Mf2Ov8Z2WhMEP+8yQBS45EVE3oucQMEx0L
WQeXr2b1sqcuhf3nzDeB4QTvkAC/y4O5hX/ojIDeBifedjULv/WwQ9+D2ccnXL5rqOVkro4Uv8Fl
Vlf6M5IUIHZGRKLot4nLv/PqX8yrEWT6jEj+el59qj7/FKn07Wd+m1T78g1TP4zc67cvYWv/d1AN
bIgzJwhcG5D+6pPgP/0+qBZvuFU5Hr016OjbHO93o4SHOZ1zkx8jBsDievonilAW4D+OSIQteBfu
ehBzA/544/WWTtIlmYxTZC/kh7UFJXUWgczp6URRP8HHpk3R84KgyhhGUMSEIbmJKq8WN5IkSYsq
DyMzHT57lDREFU7VxwAxW03RnHNW81Plbqqjbl9WS/WxdJid8HS0blSKJGJDV2QTu1f40AEzctbA
daIPS13/AdFzca9oEG7M4bmslaIrT/J33WCqJ5rZwdguQ1Eth9xspmeNGHxCmk+87MawYyvCUlXZ
Ez2MF+ch1Iz8JTHIZ9vYquSJO1sqCmHDpqecTDgNOjXoQeNPkb3vzWiRbKPREIQQpymulB1kIGj9
zD60QUK4LCK15NLOvMEH1uKleCerwiUq0sjrT41umqe6Mxfqk9nE5lZo+DB6/OSXQ/VElUs5Pfjo
N9Mxb+/IgI6frcSywDxhaSvxAeKXZefVW+ALU3+8XpypvnXsuQ42oz+1BCqUo3eAmZFf+zb4Hfxt
y361fEIPPeFr6+NNy3h+qDAEwtQ9jNAib0WrgXNndvlp0tB07QmhEQCm5hThwXhAgq55FGgUoeNs
o6NvBAhm8Mhnp8MfDX+qvwABj4+UMIT2PCwkEQKmdwJ6dGjPl75ZWhW7+RkABkTdh55DCfGwICab
qHuBDDGPPkA0nE7NSIg7JhnjclzwbZJ5y1J6meV2RKR4ucSif18AKSHGPWBOPkaqvYBhOHwNVLDA
vps78Pe6kMnNIKsibNqgynbVGBBgzaJoVS0TirUJIL/gnAeaE+updUiXpqneWKBYPxIvXcDMiXjk
bvLWjm8rn4HDkcIlvSchyH5vQZy/CxaHV2MzoR5gcWX7vk3khbCyAeZuXyfMLTvIQXPdsCYd2iOO
luGeOLBi6+LKeTKqWJ3xNQZfRjV6au+aZSw3wgarHY5wbu7xwC7jVndxbeCftt3bRLK+3gx+ZFSb
AMPBJ9nUJHn3CTVvTCQvtp9ObNtSVI98j/lb4NjJrTdl+kqLOTl7ysLuI+qxvUyiCv+KO8fljsu1
fvTt1rxhrgo20Wj576KO5VU7gMUF2Vk211nl1anejCV3+YepEhm8sSJGWsrHM5F50gD3SU3+UVci
Rss6BcOcufe6DiazuKxMc6rAq2ujW+j8ewjEA4Os+3kc7PkMQyI7tqN7K3yagkZCirdtYOuzVMHD
RGrJEGqiPZ7AtczgKSMM6B6cAL3NGwuzKuGaD33vwFWaU0FsgwQ2jSDKvJZNOV12jpscCIN1EAVq
+tN8jpnmDnno2z2XIvfLfaRpiLGCDsXbKRptaFV9Z2a3XqqXItjJZunNB7nosSS20nMr59oSrXEc
e/VOYsq+I5UxWLMW7PGE8Os8xJV7hX9XHcout5DMFhg6+3K+a2vfOvVZ0W7AxMcnf9bFHY29ui/G
bIK0nKX7yA6K0Gv4ItlDwVPXFLBtco20YtOX8DjNLr1ENtCMKX+TbbSA3iMkGqn15EYQSumWzllm
bfoW/A5AO81fY4zbqdXyXSJteUJ6U28FH8sezai+SU35FPSEZ4xwmsManNtVtgiQ/OtpPffm+0p0
DdzJiC95/qz0cNEtfIZRh+YwtcBDCwI7wXglbyc7qQiPrt8hl/XgFjWfHL4xZG7WvckIexeBCYpt
deOOWXbbtdUH8kZoT+cLL0WmSSzpw5DS/pUTs9LRxPtjjvkAR3N1AqB08o+EbYJicqtiQzfUepsl
ca/aVOizgkjWZRGuqcAfDpY9yJ3QM4M+qjpz5wV5claxh6KASPLlKZm0voIdIffIthkN9PLC5duG
XkI2iAln/d6c2vpA3Cad9LxwNc0EcCPkzRBk1Djg/dRp7tp5Du7tBdnyLk674i5nkHfjBuqzVyfm
OU9jcbGUQRsyYfHLbeNMmP9wBDKaZ9QRP3qmAgLFSoxILscKl1SXOziV83UxIeGbB6HeLquixXCk
vraC9A4+VsstkSdbNQz6ulR5uVU4ER+GIoruHCuSTJEhOzm1CZqPr4l1BbZly06YpEXPiTbbO8Z4
4601BdNFqrR974LWeuhHwjg62z1DK6q2U8+lkxnme0fjrKURb2kuJ+gChIyAPfU+jdOg732DkPWl
n/Agz0uw70FOfF3zMEDLAGpd+suxk3bBxFTLa84Y4zLrUo8g46Rs750C7HnrVfkFAml765BFdAgm
nXySBcRYoApab728v+ciLPDAm8UtgbIOCQquF6buondAdW49MCy7zsrUqVxs+7aAsrMz+rm5cUbx
0UFbHrbCyB9KzCobp/Os910tMfkzFhBcGUnOAHow3a2QXrWfUwuhuWO7B9Go9MIY3ODs6HE+Vn46
ndyOR+SUL+7JKFCrfluJ/lsn/6JORrhJr/XXZfK2rqovn7r0U999L+r49mN/2KbWOniNX4Mi+y1h
9A9NBypUyl4qZVYrVKt/lMoYpxBZIAahuF4Nv7yP3zUd5htKZBpWxCCvXmTxz0rln3pUzybn2UTS
v+pHzNcO7zsFBDpf/F51Sv4tXo6dlaRFmGDk3zpd92F28xffHHAV1EsXkvsZUM/CBZ+mOT/7An67
2fmP/gBC3Si6/IqD9HLwpcYn615bLaPgwuT572U4IslWw4MIHxlbcWnuMOfbm4RJ+L4JDCwgbo+F
I7Dummgwd5h48XFJPw9F602bGFkgs11z2GYQ1ram2Zq7LNcf1kTC3gFU3wIt2oLqeXGh6wO55o/n
giBUPMbq1Azqg4BysMWob2+yhbTqMvLeGaN5n9niZVC8vOvgCqtxDcUdy7baS7eea90JNPQbq+L3
cZupC03VfnBFFmy6ldf4Gh1axau2uazM3WB4J6X8U1x1XRhpPpohiOhnkWgvRGRYHLzgkfgoax8O
t9nylxYDH4GEZ8ivwMdg+qeSgnUXKf7UQL4MkS5QqpPI0mvZVB8zMPUYtOJi57Yu/zWXd6PPQHH9
SfYOICLgZG2gAzHan/kIGmIjQ6qs5S6uAafMxRAWmpcs4sW5cCSjtmq02a60vCG7cfOducRvoZez
T1j5wkFdfZ2rtj629jqhjwBcQTPAthowjIwKQ/A5BI+MoLqQKO9mq82MnSwFwF52zOJrc7DwmwX6
EahODlgU9kNjFNT1i7kgLuXisDUvOjreyRfG4+tFkpIktJslaT+Nx3UgZvuuHAhlJWzqcfQF0bbQ
1tnPOndDypuKs1yewKcEe5HB16njcjp7QWeFQ7NeRR1/FkHTdaoFVtNaW6E3sIMkZGniY+LCwsbe
bEvHueZ6/gpAaNWg89ZBY78w6+C7X/h/2fr8H4RRIeX0OfUHEm/Kkk9JC6DdFjXQFXFmwVZp9eH1
+y5jH3FxwWXVjfy+ccIl4wU89OoWtETv+sWZPe1XbnKuapc/6ydcnb7HpVKv9wLT9vktMafMcvzs
heke3/8UYB9scvAufFy4vx/pXzpKb+4T+qPozNN7IZGDuwOT1geP+eoWAxE73J6LyedufP0wqoab
YjT4o01evpRgYWlyvfZcWNoJZcRFW+QQ2VnVi/tSZ83WAhGwGWHqbu11MgPnhWVRXpu7Ukk+UhOA
9hgn+sLXiJhjlybabknJazvANLnHTUl652U6sndgMsdVBpxwC6gzvwL+Y+5oKEwklkkRUmsUocl9
AuQ0vRsS5/r19rKzZTmagpi3SeLc7/HKb+qe1BS2XHolKeECBG0NAMjOwwESCVx5nx3J+t0aeLQ2
RlRdumxbOUK4BLBBBVt75LN5vcoXHFz7GtHmgW11HhLcEuyx1Be7kfT27esFsF7h3OJ3qVyqA+4t
uOID97eE3XF8/Zq7frS5D7iMJhyn4ZCJ6LlZyWKvaYGw8ZHc9sI4Riw5YK+lL+nM/xhF/jWmV0P3
y91jGtzNJWKELSB5eOWqry6B3U3XzuQcWDK+GHE6bwxvrC6jnPap8Lgj+sU0jrHDfYr/UVzOxELv
PZeLrCrt6tLAegaOhePLy8rnSnM4CBJV0kkegqQAXW5M/GWCzGOpbReFg2mzbnQ0xj5N+g+ifhJl
kVZNaWnC2HXs0CiwFXqx4HAb+eoMD9dm1Ft3CQOdwyKq+dB0HCaNHIYtjF6kygNvYYR1RO2K+an0
OcFKj+H/69lkBZMVvt60Q+oOWwP0OX93cusoLgnlyDtrXsHFEeAbp6vXxw5bxhlSz167kGbyujB3
K9zmkuUZWxMUK7BB+Ghm7oDXz5rRUL7L6URue2IC9rICfSCnjp7RdzgCJUtBArGiW0vQwrh1Wxz8
qP3aevzrEtogNz3BESnniTSKdC+U+uSbhhNWqwmvbr135WrLy/HnGWN/7a2GPZrh+DynE5MYo2Ai
sUOoZobEx9PhVN8cgQUwJKcoB8x9vnSR563LnGVR2YuV1dNONBmSISZUj05Mdpz2xya7mmPdn9MR
LQXdOw0OTY6QfZiZuO4TAhtuk1i6TLZcUcTeXn3bgOWdGeLIZy+G4IIdmdu2xhmF+rPR1fVnsNWf
ZGqycYztKf+KP9RYgIkYsA23HP/jsatUvQ/KfAqaDQW9vW0yFlJlhp5rF/Mo2hHoGV0FzNKNfWFX
o75mm+J70AYkRJ+ObsT4MMeA8BN8XMVllAR2t1GK0nTb0vCk187gWnhrgZUa91VP+ZB47uN3pdjt
t7XL98rOn6biHhJ1VCkI+UwXC94PmrAC08sia9Uf6dvmg1qSr+m6vLUr/7FXjMSdjrtOshL6Viz/
pbHwpx3I+ro4Ck0Gj6Znmz9o6wKiAnGcNv2RPIX1sOMetNP8czWi0pqaXwnSflq/ra+G/ce1WLmw
uPrh1ZYxNiSklP5YzFwgayVACoiBaxka7+vn+W8T8IsmwILvzqf6113ATZLW35f/v/3A75Ny8w3D
bqogSKrOK+3gj1H5ihTySPb+Q5393aicHGz0pzzdXf6xkoh+H5X7b1CImmStM9rmx5Eg/gN4wk8b
NNZ0xAKsrQRWUZqAtT34rvyPRqRKJK85p2EyIRZY2ZLfI4wh9AKo39aeSYUJeAzvaTpJ2mGkefYL
ZEdIR6a3TuU3T9LN9HvTrvT7eEJK8t0n+T/cxLw7y+TX5w3SPjFA//O7C3pf8ZQK5CkbZP3sJHK6
hQZZXVbOiq1v02LGKEVfoAmTkr9Y3rGy/XGLsPp22VQ4rumtndh6xHz/2SRW0bh92oJIjD6AbLZh
OfRpcLVubl0Iko53aZnQ+viYXO9ikkH6VmQq/Tgt1cLiQLfDrllm+xwXsQ4BJReHrkAuFZKI5955
iQ+zcSIZiESdsrsUjc3qi2w8wsDZm2ZI0cRWsk+/SawZkYUnBhBtCLohV6Np3+HPL2fqu8RoWQhQ
0Q7I/p4oPdFa6gwquvbrC09LmG81296k0tW+hso4bIzO9vN93AZg6IOIgthOpfneUMoI/dx77DHr
wLlYWpaHnttU10pOcWgkxkjSS20PRxLBIvYCy9pMdf28WbxxQGKDxxdAT5UgK5nmD1Xmg72gDiEY
ZcwieKNz994fI4rZ1CxGstzA9A8bvgD36Nv5vB8TViRTgF0e6cRIieJa7X3QG9mdqdNU7LDFmE9F
TfopKaWmIgVsggfV2yrdk6MKYDLlVrqfIj+mf2lbt9jw6OseBcNtNIDsEE601UW8q6yqu0cN7wMf
sEe0rSlq330JWxCAd9TlpLli/SONS8aLfVFNCndDHKc4tsBtrna8RfK1ZoY8OoNlocWQLlEvjvMB
h58P7M+tbnP20rAaW6i0vZOQ7KvAA25icoP39Ehqr7rRuUWIaRwWy48/t4mFF9pM94AKhh13anBy
La+8X6yZhrWj4D0jCMx2PjOi5wTR33EhFykMiqY7zink2H1ndUSZeRm9/JZJOInAA5GYBwjJAmq+
P52pNKJ3MID7oz8mI+kInpN8kaM53IhaTM4mrbzyi+XJvKbnoS5tnbQigUbELTykYaFicj3lZjTm
1UMSG5l93edpT4mE7cgdHwgdTMlcYF5WE7BjR228ZRxXwdJvOh59GcnZPlVydkDtMn6GxUgeK2SM
csAVXtGqXemWLJ/nIS3QcAfVIK0brTGvLv1iQxG2s+GDO6UshGfHqp8XdhV4NYJ+UtwViAg/oTTI
ip0KOkLucCQzQkVNSIRXTQjhFZFp1Ux36nUi7AdjSR9mu57nIwoni8klfCXE/RUbtJ3qk7j5uIZn
FhtYgqTdBLNTqW085iRUwK7mUdBVlyoZ04bmx66fde3ZJ0FwH5f6ZNanGZ3hPXOW9TBM+P3zJa1u
yLQENdPXNB+ok3k1OkWarCRyHqAaizFsHR1pkAxSv+9SN5MblQ68+yn2FuBb03JMmQg/kYZcP42D
RfJQ4NDg7vCr2n6owYMaGHOn/sXMVG9eEevhmNeABmw4blZTPytdEFz02nu/HuUBv3mylRltFc5G
ztHc6IZrBuDLu0KTdFRv89Fecn2YIkSwcImRe8zPDrl2LE38b7sTIE7rQqWYRcx6pRbLOHyoILKw
eDEYST/Dxy65dNSikbgs7nVLszzshnqojf3Yd6R5SKTWh9a3ipuZ9HKGI3XKoAPA7HTXE3V0I+ua
G4sUp+JGOUULhy6GV4b4bhiApnkdQ/ChS8rL0lAePSrvgGu3bOSpIiBnjdclgm8DQSDqd5VW3kdj
qMYZ6IoCVs0EpCLU2Hdnk9EKqN5N0nrjUy2MmkBksPk7jMn1JvJNeYotOpV81PWLFt1bexpd4pCC
zDkILCl3PXKmYmeAI0BzxDiLpZiPGRWyTBCBrsmivejN/Cqx1whkw5iry6QYFV7PfiKkIumdT9Aj
XeY9tkj2WF3xYdTGssVJOV1KthQXxHAll723KL3pWr8g69ZvHLT7SlygsiSIC9e8B1QsMh5znjML
v3KACixoi5qFTOmtczGtfbyyBJHC6fTo1Bj7gIMWg5upHec4iZaxI2G1cuDr0tbv/y0c/yfuFoof
qqm/Lhyva9Ul/9k9E636/KcC8tsP/lZABu4bZ61AoEygs5GWYEr82wBZmBJeJc0NDAr/VW3xxwAZ
kiUelYD/TOUJi+O7AbLzhrKSoTM/9g36/08KSOn9mTWCyMxjRs1oG7z/6jv7sdGSEB810lPrcmGk
HS/E0LHTJt3MMjfExV8ZnQzChs6/YxvsIP+lsF2eDIA5gtBHcdQQ7S4jit9wZu20j+eWkLR60Vd1
DFlD2f0ZaZe3k0XgXtR9ZTzwZENyWsXGBQgKsSHD3X0ARzC9zbDJQtSqM4MdSYvwQGft1tWIL/n7
xN6CBcuJPkQ2SGDuTt73BFApxh6bXLl2qc5YR9CGtNHduLQ3E050pHXmRoLWP7aawSmYsxxDh3sW
MtpFPf7gJG4/944Yd33WaIiQKkNYUc1XkYpB+negdAbzU8J8B32TJgIzy/DOmMtycIh0JrPQOqyP
mfecyFmoGe/tlgKBxqRuVD7LEMtB94wB2N4TKeyznQPObZcur1+uUdLQjXYdy34shX167xHmiQFY
LMcmt4ikq+doMzbNgFo6u1FzYJK0my8hxhSx6eHlojNvbILhHJvNoOGwL++pIQEtsxX0rhIRoN2z
y/vALJFrkYsQlKhfJQ4Aoj2REWNm3ErQmjsrMg9Gmomtk8zvnG6Yt0O3/hJNDlaqtyNoCn3M9tpw
w8LvX0od7OxpKs9NJdILugooONYU1ou3N9Ki2TtED5BV6RrIMDyPQsQ9BlFwZrlpbv0c7U66RMa7
2Wbqb5u9E+q6YTDST9PeknGwMYZyPpF9nDFPbpaT5lFAHjBpdnoSDmkAxrxjhS53Fca/jeMjvu5d
sO0oR0m8yT42UyMvWsM/zVVUbi3HJiJHq5GklPiQkJG6gWzR7orCCPOsfay1+86flsvMGr1NPBCH
a7DMD4W5JAevKeFgZh+ztpOHrI4UzO2xCuE4GmeEeV8ILkYpPPBg5pp4LDQPwJFLwlcx4VMZVpQY
BooVYx94Daz2xcKormBX3jmn1srExxkFOiYOTTB4/oLcZIIq5TdhRrTa0anwKS7M/5hEcS2kFWG0
XtzIY7IwOsKCM2FK4N/lQkFj7crVk0WJjmV+q+uZFB2fb7CGt7d3s1Kx68/eQqGIryozKfe2/7I6
B86UJ2haGtd4LKSAsdC7iSRkPk3vS6awpNe45gZfFoPBNFCP5ur0YgmW3y/MvnZaL1caAPQeHcUY
WlHi7skQLXcObXRYTThlOsswSUhQS2gueRnC10+2PWjYXdLZVBxe5p4EgqdtGvvD0bLiU0c9fqEN
E16ClTRve8fmU/QjMi5l5hGdjGHBGfHsmw4me+1k5ls03oQfG0ylwEdQRSeNh81+ETDQ8+ohN+z5
FuCCeRadHh0kOC60DsY4SegSKbabuhLSR4FQzMbTu+et9pfwYRnqugbe/7Q4EI5zDXXuJR1ojQjs
KE5Dixy99xmjeQufJ646zHNJAffLNr9OUcLEdaydcwPYfZO53YPpp6e+Gtyzv6DMl8q5d0mtD0dq
zzAhm2OzjIW7k1T8G6sN2FMW9+k83UaiB2OIjMXMUnGYU+NLKZd5Dzf3QnUeA3n+vPbIcXLJPMZs
XaEgJxepVND352igFvVsJsYyfW5xtWxif3nQtTUdiT2NNwXUns26eNqC2ZlDC5PITlUtl1TsqqvZ
8vZ9aT0HLY2UnxLcO6yql8hK4i3Yw7CfjQ0gyewwyfbLoGF/egsYeUchRDMLIc4UfPk+K6yBpUCD
IqnLGywdpX9MbPOmLqyPrqsvM6rOk3amd8ROkcOUonaF/uASsZJWj0EwvC9g9iJ9974QMDBuhyhF
rBEXj5boLzzZqevGJ3q7VkQY13VxVcBGqEx1W7B33EV24m/pIL8qqmmQfJCmnKWvD1L2KQa1OQvb
sSsuZ+q4g5wUA2o7Co4FHZ62k4/B7AePs5zRX1VoKwid3g/kge87vxh2k88rVsvySJOW3urcvSQY
cdpMBhuKfKTfz0Vc7BWMNzYczgNLmmTndm16Mbf6FCsEXlDswc11PakFCY8XpAruU5FPH8aoZ9I5
e58xEQ/4FIsESlMHeIPJ8z6uImfrlQMa9GK4BQSZbFop1zc+XjWtjradA1KrJKwmW2DNuekeYT0M
QpJrTyIx3vcBKXWtMX2208biLOz7kz8sirMGuO8cRe6R8zc908CMh9jglBt9w9n2JJnAFrLsAzAi
Zx97ow1GtyGmQDbiEHvZ+3EgI24x/Me50xc6RwcI//erbTTeuaiKaG94Bc1z44q9U3t+KGRpnv3G
tKAm8iRfOFX3Ctv0biQFz65eCldX3VuZEvWac80aKOmO02ikkuUMtXM9vuswN3rciq2rSVFrufpK
/wb0I95yinErX2+yOiMJ2T62UPQZuHiNa0Vv7X4kCBaX7awwkWDjYvBN+BDswDEFPG1Fzr0tS9Yv
T/UwIQhF6jNoD4tGjV3AAS5cpEaC/LBRi1LfeD3/zmV/NZeFOPm3IubrL+N/rr5M6ac/T2e//dhv
xTVl8ApvdzHd26brroCMP4prSmj0NNABEfB7lOD/La7tlfiOvhmyHpM2JvCU+b9PZ1fieyBc38YB
AT0JZtc/mM466/T1O0cJgmhe3vGxJlP+B478YbzfZmRHj3GVXSqrT+dnWUt2dJX0OuhvSWBUAVsn
NfLET+1al8ap5snnqNX/AxRsTM2Da2jkcHbcwyQ1gXSTBTksFxMypS+tKrxdynJBLe2x6mI3x+Kd
F+MsHwydLD6KoqG3LIynhVcxETHnmIs5zJclS4IbMzU6726o+0HYSJE71cwP9qu13x2HjkmdPYI9
ZQZnMGSB3m3CEUr9VeLn8/iwhtJZUaooEfIpYUX7CqFPLA/cU8aU02aSLL7h6rNXdr1m0SNCP0Ow
Zb5P21fEPZMjH+A9LqPKvMBlkZOrY7aU21rtvbaZbx2rqFCAzWPGj7qzsYARQVfx7w34v3GlhQi4
J/66v71KPyVp/Fz9qbf99kO/L0esN9xdWIV+v8W4oX/rbQPzjTRxlThrpi+N4/fiKP8N4n5YmqxH
XBMcDe/it9tPijfcJv8VVK0s6n9w+4kfbAS0x2u+L90txDj41j8GLpBxzoOj0OKiYq/dtdsBJfV0
VA5ef0LSK7fc1Mlc1pdZLowR12olT1MzJ8TJ6KBxnj3GeJbYzWa2OhwdJNJAzYlyldlFbEGM2gQR
NHRcS1rpw3ef9P+zOOEj+P7gQMfPG/ZX3Oi63GF38ufVha/7kRJoURe0aNO9SED4MoZngDp4JtqK
GXP7378gfrKfXlISS4HVDOGay4H5wyaJ7s1ujL6OkakGl8TWG9kWsjRmq0xKZvdo0432KJghPgUj
hMBp20tSyo4ov8hOI5xL1KfISxlHLoPHp0JWDCgEi83GrV+lnh3W6M9uE4icj4UluuUgo6q+yMhy
UyFYBox/jPCVu2lVWy5bNL0VO46RqIYLwx2m+2LBX8iy33nuqqbWm6xdJ58BRIE4hIC/+oZh3Vub
kRPTZ2qgCEQrO933BGQa89XsptajAm5ITJqNY0zZOPhmaQQqXLpGXCsf9wb6iBTN9pgGJFPBZZhu
SS4r1K5NYutRCANWQerpdcqmsvbJoA0jAZUCZTNZqf9/7J3JctxItm1/pezOkQbA0Q7uJHoGgz1F
kZrAqA6Ovgcc/vVvITKzSqKqpKs3LkszpcwySQQQ8O6cvddWW8Eu7MUep0yTzGA38kbJgk9EDVpc
4NWT6l3b0E6glmDY1qOdSqu7tCu4Rtc6m8im9fzZq59txOLy2Lcd71/c5Zqas++O97ot7UdDQIl+
XweWMj4Iu+fJJZ3i88w4r6uLtib/eD3iUNHryDO4dF4vG/56yPh0WAWwZSqN6AdKdJrK22i0WDGq
tmSX6kyC+0+z0n1NMYI9DagKn8ah5cfBl+KJbhLvTtIC02uza3hIyezwLXgOwKxnOeHYOzjaLIot
z5G6tZtQhyY1MQdFoNy+0Q+zrvhaR9u1rctYw6046uUr8ZeHEwLD4/urRXUZNgZ4hCTvDSb+cZyu
JDTaOyMwpaKlxuAVMb37DaUglCxdOzMI8xBGwqr1fKpM1WjnCKFIvs1dUoZW9qTmR4/2CsGUIfbq
Io0Q7sHPrl7jtHevZiIUnwyyW6+nsc5vET7jfJmIlgI/4wRrMpb81zLOxve1MFO1Q4NTXcqJfHBY
6P0Sdb3Ycos8yuajrTxXbdnohk+G13T9nZ1ow9u4o89rM7Y+j3dKCq+9MXvlil3nxhh01sXQCEvj
PwikBrbLG2l/ArrCd5cIqjVfUdEM9Qt/LdKvNSz5ewQ9UAq8BbFexbwjnV2yQGN+tx4JXuLryTOj
AYgaTctuYNI5JBQfiC5PhsHlpyWDMoNoGe0606i7Z7oS6p4aIQPBYPusDoldL3GRuVldumQeI8pX
HZb9MQU7QtinunWE2xwGqQkrEeXAo/eh8BdbOBd4ByxGG4xxlfJcCHqnWTK42GRLmdntI1sPw3gy
qIY3px45dHs7q5BPwtGP6VcXOMHf0cossvtoTNuDojXQoEMij1ePizNYzwXPEls4z1KZNHHAfCyc
3NoE8hTlQa7wHkaMnrpBzbs+v8gZKFu1q4yQceyNy6DoWxQXKzUJ5tDSqezHZDAssQ7QmHrPihqX
fZNGtKLWQWzhnfLFZNFUCMAFBXnBNY0sTjlKR3GbfmitdoppOA5x/1lEQZ+9b5khLLnGOuS2N1VB
ZFaAQ9KIwq1PejkY5MziN5m8TkfMBXzntJSt67TXQr0PhqjJvrD3s21MBXNDvleBCtO+KVh/dLOy
hzT2LqLSDgrOUJVnmkTvYQ5YudaC6DGS2PyQKE2HlqLKdSnM8NkdhwgSi/Xgj7Ga1lZRDe/maqb+
1Xdyw4vRkYUaywuRh9EGtg7HoSIBU4o/b3Y30i/cA9YCIosqJwVuCQkHh/TOwcNPymFVz+gX87q6
qOvAfOpA8a7RBn8woDXgo8qBaMwUMRI5qeBgZXb8Me8i/4uKRUTWcltynPVOw0To+zbLW3XnVX78
wRVjuUXT6dAnxj0QIJH8YDnUrezShBjhk4eJOcVvb0NglpzvFhmerbP8Kqnj/J2dUk8Iza7faYO0
cWNUal22sd6CrqpvxlwXJxdIwXYxEwBZtoHPh4N8GJ38dvJNle5bHCy7BqUatZeq3I9JlTzEnZe/
mwqni2n9luWJPDYQLlmjj7kRZrtAgBoYG2LS6ctyAk1GUT2y6NTPpVvUcpNqWvcBeq330vOWR1sk
oBo8F1OQ5w8w8D2Fqg6Ywiamvf6V3MN2kw+Oc7B1Gu8IN7ev3bjznQ3F3nJeqZntwKbDYAVTpaj2
Qd7MCytLYLWTyt7FrnWXRlW9N5UcNi33+JxmZEWxSo3eRYmpfkQr6Q/XVDajh7CW3t7A4LVz4Umv
jdTQwW6ePSpfsm8umbDng1mW88Vk0NfWPdW+uWtbqKDOsG6GOT2gTPAex2TUn02Kkpd06alSlW34
V6b0fxRmvRGEsSXi2BAs5GeBpOeHLdGMY60P2945khHIGuYbJksMry3zXKnAT8BP4KfWpFbxdxP4
hzr8fIv0w27S4azIP2dvPLLIN3KSpipEkC7SGtVTyCcoADTMxLltaYUGm9QkciJimvnFVd8cIblt
7LakLtuI0ujgv8XKAYSWvpzc8EhHsH5JKI+Qo9TbbHJ+fndvlGjn62By8Niv83Q5VH+/4xxl5Q0d
maFHhx44k7rZsmiUqn5xVcSM9fsXwzhh8TjRLcEg/P5iCCA7I2YXihgJAFNVSbDoC+bQSIbwFxKk
H3fSsAUCnhtvj8WB4s1OuolDv6a37x2JlbCuy4G9v0uiIjQR0OedD73j57f2b65nuSileU1MD3z4
myO/FVD9L/PCPWocuU9/roGlNFmy3HIhM3XJzOP9+TV/fEdgebmLfJCQbtt9q1kk66kxVZ55x2FI
2sM0EXajLLLp/z+uQiYAhXIYepxMvv/S8sie0H933jHuQZLMSZmQjgoz/PevwoEyAOoPFOEHQp+H
CrlxDe7lzG/0oLCvbWx5v/8twREXpqA2E+DfefMtZQ19tDqhVG9HkI2TVvKdjPMEVg8wpHXd12rU
vzjS/Th9MKczmLktR/C3N4+vTMZoptrvHA2w18/WgNpYmyNbkSEHc1EGM4VRuL9MXj9/oD8ObBz5
dIwt7hZr/ttbDSH2mLp27WM2MLgiJByXvbekM6RecPr5pf7NLfJy0ExmDw4D8+1c5VNS51KFfVSt
JEmtsKpL3aE2xB3NhLmc4NTy1vz8ov/u/jwWB8sxXaCOb/vXIy0DIUPPOpKhAqqkAHyYm4Hcc9D5
5UA7szi+KegxS4ZUJ1wHZEHoBz+OtIWcZjKcAa51WDpSq3BBgftmfk/Pp72uUgigEGvYJquJfR34
rrm7HptRRTsoWA6HiwrmWGx3ny3ZCXadugThF2Renf/isfw4D1F7JEsL6ioCVKSh34/WMnGnZCb5
/EjUDxdKoqR+SZXBcjWmDq8azp5fLVXWj/MQqGJG1QI0gZb7liYS59RLIpaYoxEY7HVVsAQc9kr1
n4OWBuBa1tHyvtPUum6GvHkZR1dbG5GE6r7pbDT8TTzoZscuKdn3s5XL3x71MG3gL0O7FXx3b71y
2HzwlAeM+kIHbLpN+rtWDG+vQwSfkP5q/qqM88O7CQ9jGQ2UcnhFnbcXbJJu2fTP+jg6kfOKw2rB
PDQlr6laIEm/ORC4GHWjpRBODM8P7yZAxtBEFTrT2YWOl5ZZeDK7gFOOa9ackn5+sR++6uViAXoR
Cunsxd5GMRSZYdVdZM5Hj/6Lx/YVP/+Kgcgp8ecXshfq0ndDDuUuyGVWBG6OEv+bF5lUn0R5WIpZ
wFvZ3Zqc4ZD9BV2fvYsMhCaXdTpSCXFiB1rlJAvFicQXLYqNZRmsGnUvk4w6gTFxWFp3lq5ftA+F
DtsOpSyqXmJn5kv1Y4JRoWFTxPNtX1YhfIaf38mPL8OiJAe2xboGqOHtTiQh1aD2i6472uQhbCYc
VZcF4L19bM6/vekBlLFEMS16I4te75vljVgCux+VbI8tUPKLwE65/wYB49aw1RL4on5ZP1xWr2++
JchBzIco7fnTconTffMtlboQVoPx5+g1yvniefZ4bJ0ofDoXRDy/o6rT6Nx9Vyll/2Kms9++ImTC
AE/yPMGVF5LZorb/Vujt5GAKoWWmR+LIskJvzDSgG7KfPT0I4IaIij96VpY5CBg7qyN8HaBiKdo4
IdMJpQiuwXS+N4eCKqIm2VtThPSXff2AaH5F7AzZgXhS0/3A77/1+xkv4Uh7xiWZJc6AzWWBqO7c
tIMUuLxeBBWye5j71qqPY7t0wW2vU7fupCiNdREIuMuMwhHS5WaEZRLEOMavXNPI2o1pZcXdRLXh
uvV6gyZ74t1WM7EA+woz+4oqdqlXWP5sk/j21CzXne8O4UpiLT31mePT8cxrPW1QgWgO0DrBWUhy
nDPm7gDQwJI0VYE2JG5P7dscp+pV6HRhs+dWSvFoqK3c+jy1QUZR3EgZL6Gql2IoufbydpwVf/dJ
zKsuCIWj6A0DJZIHb8w4lJQNra6tblDUnjefY0aK8C7Ml31NUzPWZEnEzFeq5QnAHot2OFyrFtfm
Bb1edV8rXchbWKN5dcriZuzvOhCexQaaAKO7soo6u6+wnpK0NvRWswNkpu4zJHKn2POq7N6vre6z
gt6mqfCmrv4iiHpxrtrGWkpRU87XrMyEH+TW3Vd34uM+1ODRIYzZqXMaeZojFQ1kJ7sk6zO1I0uY
y1MHoXJFHgSF8KCYPRJcRcRvRC0TwXWdRHnRqHQwHsiX49JNBohmE5KYSwlH5qKzb8ppdPt7iw5y
t8l4XbCcUW1u19bsTzXRsIB7x7Ht/Gwz9As/CEX1BHyOKdwFPkPkcjlyxLV9YiJPzoid4gIwUh6x
rlpAMStcWcSZ10On9wohj72yk5AqY4yiuH20ShJs9pAkeMFKCaT92kha1obzPoCaPW+fjj1KDdKD
5XXEBS/my4hCSIA0hZTar2Gvo9tAj8CpzyU4Nx/4MEIq69FJbfc1iSTpvt3QQXf/c1jRb6fXuIyZ
yRdp8Fq6CaW3yZ2tR3J/JSw1VkXiOHpnaSx6Lm9RE3gLsjZ3ea52t9TMRdoNH0Gck8uiwBvf/tma
wVPzGrli2Uhg+KQeV/mwoq10qcS2lOdXNfLgg7JMKvDn5c/3BoqMktqVf3J9+hErZPqKTFCgkd0l
tFCGaVEbdBry2eHBogJ2xC4N7Ti568qGD2Jham13NQbb+1JbjfowKF8Y4yLAz7L7AObMcOWq3Hr0
0rR00ExEyfwlMOhkbKHO287dbNVUgeXM3lgw/ia/YD2mDSCrlaRawLvi0M0B7uz0wn/PxjzrATtD
x0GvmCdoK9NVFIEbXDOFkySZtx3V+pnuLLjfttQBFQG848fCPGNvqJD3i29DYxue/lzx/ytU+IVQ
IaCL+M1Cv3ntX//xZ4P1+rX48r//s/mSv06v7Zdv26R//sxfXVLfReW7HDYp5TCCaHv+s0vKf/LZ
JmOSOad72GwZ/oKtifAPWuLgJULhcH4gZPefTVIR/IFin7WO086fCuDfapKGy+r47dK9xO2gqaf7
F1CcM703m4UsxVRv6bA5zN4sn4FvlTXmKDENK6Zk8qH9tuh3dTPf5pUNJCqXuPJN1DFlZNa7dESd
iGhdW89RMhRyVYKQXiehOX1RvWcs9vB0jYqPoJwYnCvnAoAt+YdzyUwQkb0rESPuZ2HSxlOhhyPK
8ZMDiHz3Ie1xTHN40Nd56vYTXinAAz56J2dNv689egx0POVorxAayVUvgWOyHW8vIZIRAVLAhjGU
m+4xQyxTSuvVF74GGFYZbX9fguk9tl3yIfUb4znJCwzMTYmqtlHlfmAG2NYL4aIOuvpGw4jeFKq7
g5H2mdoENxlxp5a07zCLZrsQ9M+GRpaxSsFH7M04+1q3AgWWGcKSL03YG8TzaRTMkK7B8vb3crTv
PKGWKLH+qq9YCVFq3CVW8BiNw5UVsUhLVT5MjbZOChcxoj2MX0QoLn8UJzLQTk5QP0cwZ9fa6tUR
A/4HCA0XXlMxOQlxR1rgh8YFHuBX1YOiqvsCm9/c1ELKTcZyAVIOKkCSlGtewUclom2EJHOVRd7y
EZqV5/Kr6fKKva9980ZkhrEjV72iGB7mTxU0kCdLCUz1CzqCToXYeaQcrqBnsO6ZxddO17fs5vUh
cozjAsp6rRyrfazxSK1kErGzEHWO0Myub4GhH6JAgwemU3gzj7J9Bqb96HVJta8U5RkoS/HJizKf
VlZosYB4wbbNg3e5rjHPOWJ6B6U2PjpF1fn0cEHr22E0fDLMpi3XfmOKu55w0OsiachpnWypoFvI
Rm85qz8IUmi3gnq13NiVuAfZR0B6gIxQCOmtI0YOnpMxYXUyRqSQqglpEYiaTUttWRx7QAqmKIBW
fTB6FbguNVzGsdETMkdm1zswvsklAncTV1I/brq5hxQAVS+hL5hV1c7CH9mCvpvNy2lu3P6i4lC6
gkXcz19RlmtjH0D/jr7OoT9d5XZLwmlcwjrI/US0AMridV2k1sN5+vrvRP+LiT6kQvbTiT5B0Zx8
6v9Rff3HGs9l8TH5zvfx58//Pel7f+Dn5iCOmOKMDWJq/5sb5P/BoYyeKkfnP+f9f836wR9UByme
UK/jcO17VHX+VqYFfyyQXA6PnO2p8vKffkcaw/LxZtLHVeJwYrJhC3tiufNvj0x46jILAYN5yFS1
LuKv1Clu1BxdpEGwKafyUCTmsTMjAHbDs5Uxs4nuF8WYhcX0w0fg1IZEh3tGdPemIFpRzauDIDYP
VTub15HzPIf1qYOXV2IjWawCZt8Mm5Bk9BUnvKu6jtM9wUzIU+0XBziNlhBBjPjK1JgNKiL+QsIv
aeU3Swit4yIoIerZGGNgdvUnR5EtWIFvKSUd3A8pMJnlr7MD0CyZ33W62icF/jVjO7vhwamwIq5i
BL5UEem5aUJBhpXRUrIDfj6sZ1E+zQGB7rwTB0WLl0D3FV2rSwJm4Pul+s7pO/TTOVCfwLhiQGNy
6EW37bKTYwx3zDzDVpUxyZVhf+eFL5Ywtl3sv+qOT8CQRoQu1pAD1kUTrkwpt0OVb0YFjG3I7tEb
P6bN1MJGLkg3rIkpsM19kg+3tAlJJi4/aphufZqtG+Ls957mY0x9n69EWX4qlGPusxTD7WxOn0on
Bgg3dKdykcjn+JRrr+NimkOQuIkLonH+O7n8X9xkVH4CyuX/WW13UU3fzSZ//cBf0wlyOjgDPoVE
arr/mkowl3kOGAH8xHQl7W9Frs45cW6pw9Ngo+T5jcjVMf8gOAr+L2CNZZKhEvUbU4kjvneQ0XfC
Z0+Njr4sqj5wZMsG8xuf/Vz0/Vj6SXA0m0JdGikuhAnQzb0Sbva5KEciBKLeYWnO3ThGExBl1wK/
1ksKiwx9id8Zt1bsm/FK1vOIvqSPnjINavCySZT6JHGbxhfskZpoHZWDMNaN0vFuYJe0jVTuP81s
Du+GthbdqgUCFB1lGuSfx3F2T2MzBE9SVWm70vmiZ++BKBAaUjGSeiiaMnSSi9Ed820qRUNYC74i
EhQK4X0OLC//gtz0IiZo+zoN1Yi5t3HuwXMMejMQMfK1F7q4IX/8KssHyv5zmaQvOhLNK7uR8b2K
Mb3acye/GkLU6KhityEURvm3tTdiUVWz6KAOxuqKciQRumHrzF/9wjDuqjJlo0dsWnw9GjabOqfG
4BB3gUWRuhLOyZZphswWeGGIkGWQr5pJ8pB7Ubd1x0i+WLOI1VoERbCnPiRQRBRe/oBuQN5AL70g
q6KKD8mEKQopVnBkjRj3ZkVuzkYXuPEKGRPnoUuZ+0jmpQ20iZqrXskM4iq5BlX4ebZMVZPU0Prm
WubjcAmTknySKGuOQ5TB3+kswoVtRCrEmarwstXgNd0UrCab4jq4hiUfAiEd/eF+9IvmEM+yOmSG
2UFERkezDpMir4AYePVDk0/9kfXUWGNh4eGEOVZEg0iFG8unVLEKYp3eJAQ5DOvY9cfnnJ3tyhuc
Pri0ZIVXYpEqwRSI/RAErhf1m7iYUlBqZXtTyqFdJwps2Up4OMOcSXEwN9kIHPu0WPLkpYpvg77+
SudgHg5mr5sEBJGovk4gfhzk2xoLDHgpTOwtCNRDhP/lKRpUejGKstnqcE4FcS3e+EqxCcDx1I6b
qi7dXWiI1mdZbcTOqkKWD5VY0w1h23H61JhZpMY7rBVJlW8tpCz9Hn5Ecj/Bibot7JDeyGe+XaRq
ENtwm4OmcUqE0ydTt6SbXJseoQrXMbb8DU04yhhOP75M7uTBgrXsd3HANaKuIVhMPzgdeAj8EZa7
7i2L4GCM//WOJiVWF0YoHDzbP869k+26IisY3qJdz9Sv6jjD/IOOZ8Xht8LHXheAw6xol8pswV2B
cUsUxIU2FkRCZdalTWzrVWVaPoQ+554j8wGOhHvStROtZ7OFeGSW88FTDc8dQ0pdrEZnjjZl0PIG
OmVjIuKrZg/v2cDpoY3CHQttT3+rLba45vwLgZrsNBBFs5maIts3WN77FbLD5tLrmuFop0Nxz8bH
AaRVee7eSyFJGGF3pyUDM6vSr6T7vLMMpoE8yGhZVc4mxTS2qpK0ezRI97vOJ0SEVIYkKC7XegCi
xqwVFLBiw44YYNMDrwvjS67QngWoHR1Ms0N2K5zyKST8izgjBrZRiUPax/eeV8ptUVkpbqWyXKeJ
ORJW1eXBAcc9Us3MW552NT2yj5Qbc5zDC7+CB4L1dtxT07fvPcp+uBk18DO8ZRf0LdHhEXsHL83p
KEzBzN1SnVSnuXD1e5E7zjOKrnQjM/wAqpZwmofef0SAMlzWk5crJqmOOQVkKnNl4kbGJ1OrClNt
FusbM2P0JmWcUgtkbsxiYLmVpng4GGF6miyDWKe4i9UusjXbj9Is1hMyx3WcZM11sQgvqCQEl1lr
v+J8JlIFzROu9YLI27Dpt0U3mhnDsJR3EzDvbYQnCHx1nPO0bZEyUAHChp8SJLo8czESQEW1S60l
iOpT4sruhnS66fNoAogcy4zKXm+bWzOoiYJ2/GGH9ad4howc3Mo+Bt0S8/U/pwGuUncwrvExlDfW
iEVszmPzkbZq/rWbnf7Fh5Dw4FMVuIP+F29nqzF3ee0MV6Pu4TaaDmYlNJfZFglPzqQrk+EhcUR1
DGjwvoqOV1qIZjopuymvAppmB2W41k3XudliaxoYVdP8EFvFsos0rOQaUymUYMDRp87No4Mp3XQ9
pl22qZyAKTOPb6ywSw8JAaS3Rjb4Abnlgb+OmfM3Iu1texX1Uh/NvJa7Anz9dWLn0TtZ6kmuitrt
PoCiReanjTE52WPWHTo7ahDFWupjQZj6WotaP4qRxkkdpT4ZQnlCSZK6y7uGRsVJy2g6AWsYcRJ6
Zsr71sh7gs6tBzse7Z2uUjyIEwjEtTf38n3d1N2t0NRwZVctmLNltmdFV68ya/JHIRdO4+BxCJ+Q
IK/hnFK75a08UgO964e5S2GFC6vvn83GW0C7ZHJYmfk8G3GOR4biVPLegUtcAlBGwcRKlJlBeqMr
Siz0I4diO1hes4Hap4ptbSr9OehHb4tiFyR3i9ZutUjSIeO0U7SK5TzsJ7N4nJRq9klGP4OXNLrg
q8w3Q1nmd2Kh2rulfxxiA4aI1/7VV/3v4fsXh2+oxktb7z/vjy9fy+61+7bI+teP/L1Ddv5wOVPD
wEXSg9zrO87CGcdrs91dZCIceP954F4cWX8fsDmxIw+wIL8Jj90d8T+/sSsGM/X98XYRQdDlpXhM
P5L+5NuyahNhGU1j5V0WNor9te35Fn0da2JwrJG/1RTKfFtHA2CiQlTRdVXOLMEtfUAo5rrnrXzI
q8Y0imPXeaJV6LMVLdVDEPFGrwcxYiXzG2pg15kEMuHvinYsnOm6R2smFWkSPrsDpzO8Pt71HVDd
0+g03acsnu56J/GjtWUjsnek5+9yShLzrmviTW3r+cEINHVH3UtIjU0IlhPpcQhZbG9bbWeesHfn
7jrtTIDWPiXU7pA3JIjdpkaUPbRNFL5gWxAQxFl0LQbZmNaXHgU2wi3m8NnAq19xCZqzW4WSNtnX
vm+WKzGXxZb89OAmow770uD63xhhNX1IRocVB3bSrhpm8IqtJG4mHW080JWQACb7yqj3mS7yi3TI
5Qevc5tnuxNEV1hVEn6qwuBTrubrwGzJDySBbL7gj+hqJPr0JnET80BQqwVKR4RrBdKU/0eEzd2Q
lnJam/NsbvopRtDMJjykaTpUTIlORKV6stzxUBq6AFE5dE+4PaILu52nvdb+fBd29nxkYVzSMRI2
rrRxjISA2zT5zPvg3qUZXuDtWNnGjSzKYK9crz10lbKImOjLR4kYf4+Jr7plifXXowIPsSYl0b6i
smG/NwA9OCuvscVN5cRLlYTtcuH7/sWYWPoy79153CQDtADLptRgLLPhhE15J6iGH3AwUfWZo0Z/
MOaiRpycG/smafSFI239iegM/0JC/HnQJt7uwWiqU2XEQ0FqnjHfqEF7GIN2anR6G1ft3/8mg8AZ
5ZXh2nU9gMEs/CUjcgydsj2mNWGY5ZGcgSmHy9FHTRrusAAAebcCaGLjlHcTqACaquan/1Yc/k8V
Bw79P61nXtLFGj5l8/dz6vmH/ppTA+uPb819/6o7BOEfcMyWafYsg0Pw+s8ZlcaVtVTzwNdQ3LMt
k2rBv2ZYqiDMi+hgLM9cfuq3ZtjvJ1g0VWDZ7cCl/IC8z34rrqKqKdtAU/gfCZiSawGL8W6yYs07
ThcGk2l4HIkWNiYyXvDLTyvs3OE9DKv+0OKm34vGavbkXJjm+puF6fbP1tm36FLXflMR4aNxc6xE
pg1DyEKE8H1FRHXuDOoi8C780a2rGxpE5k1A1COfAUletoJq95BYjuFsk5ZOfiwgn9QjBBoOTNHn
oCytu46uQtNu69kv/Pc0OuLrWQIuYMLurJdCyt5rtxDI9Y7NuBHgdyIB/AZUAyjnjYN2JDhMWaQ3
jpmVvdxY+eRkii2kn7Xv5DzGbJ2Mgh5xCJvrPog6YlPZiRGMQcQOsuyWZFCiiNKtgqDM7C7bYRtO
gbglfW14F1Z1vpow6pHWl9s5SIwpbT4Wc2Hek59agcNCj5KuE2zDNPQyF3DeCEEiP/aigg6REHCZ
E8YjnLsSVDjbrGmH9fiJcFtjj+SmPRJAaO2HQXSfElO2N2Hhqg2cyksrro515XWPfpmoWytU897v
CASNwGwdlQGXI8FcxARNns1144j5VMYSME2acYYZrOrecMIXeHRQzpKuqlD75PLZjqLaXwGjma5I
eDPuNGQgtfbl3G2nZFQnMG4PJjG6UHiIUFU6LP0Vnhgr3gWZ4XykI5+usFGA1ce1goZGmIl3bwZZ
fU9vVMBlCIpbd9Q+fVPRWtkVx5pOvEvjltAmVAs3WjdbDrr2rgnz6XGmk78qJboSVG/uPs+Lclf7
vczWVushH6KEsdWlbx3o2dVbX4fGSmCb5vCMD4c6BCafJvbueOrNJSqodpcSYX2MLREeF9/7UVom
FMWoNPPnure6x8rn4NuApHTX2WBQbukSfS1KG3fXaPqfgU14OyfqG8hD3H1rjwuqY8TIlFS9t+K5
OzvdTKBM6qyWrxmv/UrYrVr3vGlALOPp3vTH6Tpkbbh0p27Y5k4S7p0GanhvwLRGniy4oV7cyx5W
DT1eexW3CSiVvC38aDdxRJnXunG8Z5dfsjZUzloahMPWxZn4ascpxMp0nr/YdCGvmgKITaBUe3Bq
h2CwngrGCyuxbkkAl9aFfYamVdMCUNNnmBorMGA1/wxZs8/ANU6jwNcQU88bYP0g2QgdMR5dtEU+
Vo+F2aagt2EQrlxq+CZUmDPerUCveqJlUF4qDE8n4QwRzB/AUGk3SgQmtgvcO4icT8XkTN4qWThy
eqoXO1EY8vgAdi6NgmgnFvacfcbQhWckXcx+Y9wvyZv5hiLKdOeXZuLu/azyLrK+fRfKSX/0R61g
e3fORbiw7yiIUWOsFyIeM+H0Mp4xeTU2erBeZ3xedkbpsSqD1asWwl4Z+eGwcZsFvFedIXwkZ+GI
PqP5CsrbKN3OyL75jO8DejVeVGeoHwdVap3pwvqDxwL2b1wIgIRiTXdei8t0RS0RB/VcdvkNqRA1
IsuAOGEOkeAEWzYaEDkXyqDHdHBZyDBPVkOUF09shJr7ZBB9tVWASK6ihrwog5zhbuMLUqSSJU8K
TL2Rb6whcTbmkjfl8Y6G23ZJoYJ82V7R8JW38D+zd/WSVkWT2eKwDKuoqOH1MT0z+bpdln1K456w
Cxw2CO0oznm3WDVy47kWVG1INiIlyxao6bb+OTwrrmGX7HArhl9aLZojavfpJQ4kSWpL9pbVk8JF
6WSDCdQgI3rJ6DLPcV10lpxLGY7pDu5q+wDmiGCvyPLkHc06+31Ffvu9P6sCtBohirdI0Wu4MXB0
MEL4svtQzbAYVg5JGu6+XRLFoiVbDGFfY2EEVOMVCqCRoDtrculvgYoFhslJ/AYvPEll7thxObQY
41fm9/A+NOS0a3yv+0AcPJeIQ5Pob+bmXTqL9KLNgHs1EwlpzA3qIl1S08aM/DTwn0SpjUuqWoZt
lmYSrpfVoCWRt+foNWKb/ZN1DmTzZ3sJZ+us5gidnPM0Xvzhsg887/y1HYxAXhacJij7CW5ytPwt
bqBPqSBaaArAv2ToEJ5w/NYXKYeF21BI0JwEx9lNR4QcpHhxo4z6lEZM/drNT8SmRqTKVRehPxRI
GQy1psCCGMUs621dO+n1jC5173Bw4Ae0QqTHQHdW0xJu5w7E3Nn2YG8KOZNw1fJHEpjGh3QJx2tt
oS4dt3FwEEHLfXFcYOzjEqiXgf/btEWl9su+5GO+BO/xlrr08c55fIjQyOYDGypPXTWCTmU5xd8f
LFF/roDYtLY67TsLYWl2NkSAhWI3t+A8N4pYsCcv7fty2yyhgc45P3A+ZwnGzpIrmGI31Kv+nDcY
SH/iLB0sYWDnRMJhNNuXZIkpRHvE1yVfDScdbwzTye5n03vIVOTu03POoXBaItHKToorVJokIS5n
8JsoA4zAFqv6MC+Rif1AeCJpgnxf0TlT0RBp+UG4TcHvJHLRXsIXKbST7OVLIhmDprNOHVRNRtES
2RjrEcYR+y5avKQqUxTC1ZS90uB66YB5bZAKCgfcWlgfU/LnfIrsgUGpnSREEGJ5BKDIqJrifpJm
j+Mine8cz0qIbxtJQfA6i1p6C5x3N3TdPdQwFmsILVfSrSSRjwyxU0JHzd0QB0UIFGZvUa7cwiGr
DWXTJqKQ/GlKVfMxgBVHXUgb4dF3umnZYLp2S3MWt85s6R7M69TqiyD1/IpAqcE79WB9nVVNI9aG
CaWXLII0HU8N1IIalp+IoQuWwGzWbE/a93bqz8bdCHjI2Q8s+iSlVBrNEO8AbfcKTCEm6IVCikin
OWQNzxO6WCTBPfnO/2PvTJbjRrIs+kUog2OGWVsvYkQEZ3GSuIGREoV5doxf3wfMrGoyGMZo5boX
lWZZKdEJwOFwf+/ec9l/Fanu3A6DwChb2QpqZborZ06dsNCGrl5uncJK44s6HBMssL6dEaznDA+1
5lbfhN7bT5XvxNvCCjhNJwjkfxrCV/ZIKqt8WzU1DTIlyFQyfsTEJ6OCdUqDvBTXWkSsIBinyEVj
ape/3Vw1omWqBuquxB6pLmEIK4tGby3oiaQU6vLMckaNRtD/H+v+T8e62ePx7jzySY948Rzlrx/O
dH/9jb/PdBZlrtl+hirFBHOEC+5/hSmC7FcMPJzPsC/O8JV/qxEN+19YGW3N+Q909D+HOvrMKp1p
EKUqjkdOfvafHOoY4oMmxLERPKr8HPxDHOoOISQjakgdff3kFf4aV4Q5XlDMfXc3jp3OPg1BcQ9j
oaCswxn0zcT0rlvt922qBBoBMJBEATzDWByJ8LG4pf8pTv6DUeYLfTcK3alhMENGsfOnRnkqhldp
njpmnriQuQD5bgg7KgzeNYZopxtbvRkjHBYvX1/FQQ1zzgzG0YUTE0wsMQOHhi6LXVfeKQ6eUgNF
eKe4wTIqi5ssq7bA/LMTRo5PD/9tNCQzKhInaF4HHhJ7MAfJdxlvaRFg8m/4R5RhyUyD8pSZ/NhQ
QpsRYHM2gXF4QFcbEsG0QXBhoRPcDbEBAD/uxIWKxvGE7QeVx8cpzVXh3EYdQRWVEQ8ek0hMFb02
Q+V13p4n5Kx55PyMS3+YhkUVDNmWXsr4p3ODQTUgDbru0P0gSfnj3DAjWDgKMaoeZmNzAVqVbMPa
MRbQ5E/lLHyqdcxDYW+juDj7s6yDWkcC728qS6X2sjEE7JD6SuwplRPvEo2TLHGL1XU5CgCJ6RRe
tCmt+K/n6Dwr3suX5zmqQXMziGp3cK4fzBpyakrs1UHjOZkyrK2cC7Sq/v7rQQ61avMg+NzoLajz
EmnPcrp379ogCjlKV6s99K1iawPhjxaBrfuXqYYoecLwSaOX/idIynrz9dDH5o+OtEfD301K+yFD
DsIWOFVNrz32n+O61Mk/poo0IqdRVBJe9YA41jGU/vrrYTHyfX77Z1k4F6vxURCfLKQNPqY46Kra
M5W8/lnYltqvI5XQMbtn1TF9orCpl5N4lbb+Xm/UdjM0Oo8gHoCWDl2/jcq6ftAg24hlNDXxqgY5
p5lZB1mkG/pztwZVCVqXJDE5dBvR+f4tu8I2fMtwuhvBFrGDsuOzxurspVOUT8S9EiLsNIRgi85r
45pQ5ipUFwqlDVDodniRluUIqqotFhbRCmdW3ca7UE3tM5X62w8lQ7AANHoMyXxTrDPO99QWVKVZ
h4pJ5mwwQ5STQaYrikDteetm032Ecm4VlqFGX7L6aWmZvfejTF8DqETRC49ka2jNuZFo8n7IR+MG
lKfYArlJIfDW8Q7oJQ3iVhibJmENtYdSXDgqRNxYN0CHakP3TbclPyRx5Lk9xSMsZUcbOfE14sIn
/9wrYpbdoGjDGz/u+p+uJOG3m/S2IQlvYBoQWgbBeXrtQW59D0viWVeZm073Vk9nisBd8VrXOIaW
ZmPI30plDOBp4lQ+kNXhhJvBksZNR6kHajc32DTQaBDTIBeZnDO/R9PioOzLc9RFhEBFBmnoPg1Q
xD+k8lE+lDZ78li5BOn6Khv26f0o21/xNNwbk/bqIqj6MWioAIxWib7jq4p36oi+ZVGHvEh5b7xO
sqhxsKF192IwBgsQGzwE05/kQ6vy87KB3yMe7GSfuWbzEM1TPx0q+yyjLHlRZr0PeaumXMgeHeWA
FpPhqHcrty7rDXUGdUuBBzoOH5yAuJTRXzvIreMloshgb46G5lHSZABtInujiuUWpmjixWbc3SbF
1N5KuuDLqXYhPCcYqW7SAMm3CvJpjwMa8agC+ZxAAePKcbmdi0oX/iqrS22lsW26lL0bx7tYszJM
RHRYFpBZhT/7hMQ3CkTBzRhE6i1UpmRYACM1rzSMeNswCNStMGr/xUe+hcZLU/xLrXcLcltC227n
0z9RJr5vXI1hra1GMtlAe+FoGMu6Oq8UW3wT2dTtLLe0rn1FV7YcVvVrW2TBeW+YD35WTTeSagJH
MrNTwTlVlrarajSibTsgY6CF6L/IAc+gW/aFXOhKq2yLMXR+G3Hi/FYCXy4byEBnNcLEl5AA1XXQ
Vga6VcdR10oj3YVP44374SMbWYlp+JXi3IiXTTcQUBqUqicaMXoZ7ILzNAiMO5X427U/OvTidQQS
Wwdo5dakVPbd0fyO4pQZ3qhZpXodegaYye0QLSMb1s4ig0bwUyRotqqszS5bMh6ea13PL/I2cK8o
X+l3qSvHZNE0DqkclTDP3ky+ekd+IGUc5xrbWP48hmZ/U49A3YY4lJdDU1nnYrDHOdzEPEtKzA4C
R8USBYB1W1JYWclpJOCjVxwi81SMIAscYyxeqebLm3pSCRkleTyxQeFZ5ipCNEYVvFd/4+nEfRmm
RXhb0Rz9ZU5W44mORShRsmbL1DBXA5jETYl1dCuLnuT0powaSGoh5QHVqM7S3qKKExZVeDeBvgmg
l3P256UJrVXs0tvV7Hza89sGd5oopv2YjNUZHYJxmZp+VC1jEDqEOGexu8OFZG44RVsrGwD7zmzc
YgP6rkAsMVfjwyRCB2bpzAlnzpHigEDi4VjXO6VWUy6jcsYNh1Jljb8O15umpi68Zsl9GAo2OBqH
zuucTcALmhDJMtYlNylKlm0Yq+NSsgo8RZE7rYl6tT1JgeyVZjBWmcAxz4hThHGNrxJriBKXz01S
iBeKtiQCpG7k/27cNn0YGxKxaUcl+7c/ruWWiYDRqHfjEIDJmky7v+qneLhqnJGAR5yt45o5TCLW
KJ2VIYKsBnbDkNFUkkFlNcRmteOc0qKnUn1JAGU92nPwYGcitYPhjVI7orp6kaNHx64YaN9mP/WP
2AiLhy7Ksq1023xrmpO/jiYBQ12ZhVCV6i7JeEn2VtE+0yOTO3xhKMiDNiYUxU/U+fOesHjW3aUr
VW5fHiJkqoUbXVgJVT2hSPj4oygG4HQuNSmnFPiSiSEHJ+Z02R7J5ZAg3bJkuzLm4E18XPzC6mBN
nhsl1q2ggv1dNt1EHCZ6gEWZkUNplk7OfsbCPTmVLcOieoFwNBF7J+qWCF7sUXdlZPX9nJAjybJH
GkBqTr1rceb/cknJ2ydpjGi0tswzHykjOaKk4FKNp8RVsd/cchCtd7Alk4fepfSf55V1i4dHWZtG
7S4dylrbICFssp4/dgRO0ZyJ7eG6t2xlrQsyOwu3oQ7hoyHS69F4FlmVrvOSCU6NKdlPzOilrRoo
yAw1f435hu+0Rm3u4HNPD0yk4NoKleBKxq17m8dZt7SMxoX5Uua4a3Tru+QsKhdtpPnnaZ+zFW+y
3N1qvjJcg5qbkGGq3WtH1OF9Zpc+bQNimVZzJutfzymRAwYdHK/rASvSRjXASeJ5xU+GyOia2ui4
B4dOD94coh952zgEBHTDBtC9+ai3o/HY1YrxGJvleMmXytqEVaisxihSVkpphIDm/OJigiLxrUAn
sNbANa6VRB8u3+66NLGDFo3jXGmJugHUVfDha+IzoHsCxz+aAYB//UyAUzcDoe1ndhXm69yN5S4b
JeTfKhNLMrIMXmIbdESrjemV74hgJ6h+Jsu3uQwsY7pxFQMTHKWGs4nE8ku7yaHTpXZAvDmlbjxL
eXJFpmW2s8bB+u76dCykrxomEHk+hhTGePxTNV0kwLcvBIVbYpkABKKwSEKWQCG+hUr0UifjcMmi
QAhE6edXdj1NKzA9sIzHphwfVAp48Lgn9LsT2rCNLYBcpGhsF21ix7jUQsp+upbsjTYzz+J+oklo
9wR31OVwVUEhKOCE0xy2q0IhKHrKcF0javGjhSNCd823qdu54OL6BZzI8gJOfC6WObFYd20x5JuW
BYc9UG7TiTQ0eVVRysSRQQBqEKbTxdhj1658q9/omlDGRZXkyl2jqohlKcmzYzaQqKcdy4YaNLya
0sTZNzURikynwwNIvTHfSpGnD2rLdMrKiW21G4kXNTDGCyOjV2r0vfoyArbGnBmRgqkY5P2GDS9m
RPcA5hS0zDqx7b3VG+PakWON4lfrSqqnXVktMheW6kJ2c9pe3ujTDSZ63nm4ogUHUv7lzlCqQC5w
9XfnrQQB6/NHr2Odku6imCrfa0RsbCNVn3AK+da2r6LtfEVXM3puOblmeCmmSCNNIsputSHBue/E
+XoqQ2XL2V5idjNH7WmEhQGdM69uERqONCgi5Szwu+uWdveioDlI+Vd5dSpEP8LIv+ttKhZpPPrn
XEaygk3JygkTr944Tt2vydTWtrALOxJZfHlmQCRpkZ2TRMEOERrkZKL2D8drDeIT0cFW9tPOlZ/N
ZF4N6IQ22tBn876t2lE618gziO76IpyWtaMEHqvVlhvREZZg5AD6ON65ifOdnAgYeLFe0GlrKn/l
9LOzQa/lSnWkssvNkggVu+R6adMY7Kqg4rBi5xdDiZMpJ0wh6YJ8bUWkliNj6lpEQ3H4FLSdiSNL
wM0f26GDoDMVt6VhaRMtGxWVZqaFZ2FsldfYbMvv0CfIWdfGjMJ52f4sO9u6tUVNoTh1sCi2HeQZ
cADJ1kjD1lNCOvGEbFfGteHU0zUwyfq2RJ277rLWJstwgPNqTZa1RlWJ16IOw23qTvGmqxKqcWoa
7WnLj+1CyOrFrafsTCBi9+ihmy4O/yLQe6RE7ZAkZ03+wvZe/Bg4jl8It5XqstbM4qarYkRjWtH2
1z58gZ0cQ3cbQ0bYSKflVcwytVwk9KQo4dc8xRWtiRcjNCoyIBDgXxlCxjc5icIbcOr1D6tmf0UT
PdQuR8KDsLiG9j6hgffoj7bqQ2Zu9Qd1/kJa8CPwUTmhN+R5exZGjnERZo18pPFseuhw+z3mlO4M
tHLyUxqxj21A8HCLVvrXHWEwv7IGq0NnCTA+TVzQdUI0sAdqaZyTEkV1ReGATdZebnDWbdBdjQQn
3evk8q0T3xQJVMguvCyU8TXpbOe7Bs5jrbqTswwCMsbNJo2XMdk3aAggBANcz8J20SoDisGxZiWL
09iLyy5dlMTl8nj52u5HThWrItQnlGjOKmjKCbhcdkfe8fchR10YsMovqNli6HPJCUlE+Vjrsb5K
LALSF6ph464z2RlvC9fK7ooEELacUm1X1z5bqXWQjX5A8yopnVbx9IbccY/jkqW8jjJtaWigOBet
5TxIpcKuXLbOllNMj6Ut8u9TXZEQSuz0mq1i/DwIvbiPq6T6XrblYG9LhSYP4XCAf7ddYfrmIiGa
nsOUzG8wLfZwTYpoeEpqODJ04Pp432nta9A7PTxZB0+06+RnOjvbn3mpWijZ7GZlKcnlVHS07gnB
I6ozId6m51GdJ12J9JlujrykEBhcxmyGFpD542btOGZ1UQdE24N01r7x/v9Ct04fkm+au2hpSy10
X057t2ja6wQ50sogmuNhqBudDxeqQUH64E0DufiFMtiTETf9kzEOt1OrgRG1LRpKSt4LAqvIH5el
MqeptOktOlaUPGFY1d9MNW0ycM3NxgpbFTFP1y5MZjxN0cLYhqgzz7XEGllc6hZRXuZyNo0hqSIw
grfESkjvUEGJEgz2HUcdvieBmz35mY3XO3AfjcHoz9RSaFt+iraqhkreGpHxy06d+qqjqPUSTH63
6RIa29y3Mb5w3anfwivmjqGVh8gVDzX1FW6K7tuPdhcad1FXICtpI17Y2qWPmbOnGkPL3ZiKuZV6
qF1zBnmYYbJXQzlZe9I8Sb/rpbUuwbA8Fy58jrTuHcqEenxpwcqlA6dwitFqdreIp6pl0PU5xI0m
YIerUG/O5E46Y3bjR4p1bVdqgBwImokIO/23CHBPFHFfrmuSB/cAgNsrAmbD89RMzFuDUO48WI7E
TrU/4hztSAgaKGO5XXdEtqK0HdQb328t3CjIFguZFNuRhu6tZMXFh0LHmEAadVun7R10Migy9gyT
DIpxK/v6KXRz24uDkC8WG8E9C6niZbrbnbOVs/e9gYeLJNGE/W+R/24luIRVKssXvYpJhHRkW3EE
qMLkpQDJrZ6JsvXPSFmNV1RLeiZbo921mjKMSwW0n3sJSiXQCE+r4NPqdVGamyqnjLx0wtq9zMc6
vcsz2AGEM7jbkCC3VUkJ687Smlc4Ci29RbYqdaXXe3Xqf4IVz/ZmSgQDmyoOSVWH0VUk8Q4+rZgd
XJ6CNGbP+29iG7EesoC9seFjHWNXmK4od/xstKhdIfLyMaPxfR37nigZ69nmCDLE07lZqzfsoSwq
Z5SJlNYRPw037c+MgkR6q9IppJC1ehX4wutcxf8dEqF3jQBau2kG9zcgKeUh4NW71zQbfz6xLcSZ
ujVRV1jh7AUG+WKrQmBBi0ToGDrnbuHkVAC+LoR+roJS+oWIh5ySUih25Y+lX71x4RJjtwc9EadE
t3X3mFcmL7A43bqExv6Dyr1Os0U18Gw6bxkp7yvNQV2pAnU0wzXSvKu0assJAA0GVrcT7RYxe7wP
K+eIMTWDbfgRYJw7TX8XteFk9T+btyL96Le/cNXA1GhScUFdiQwSZ1KfQ38+UfbU476+u8eq95Dk
LPIGdOKrP3UPbF2CjVJrT7cD4wYwOyW9gDrp16Mca/fwCOcaNsAz9P0fn6Ex+EZrZPRg3tohXexT
j3THAV9cXJ54fscuiOQLDkI6pTlSwD8OlRBcgLyxp7PUV8i1+uLJcoqnry/n1BgHlwO9S7N4W2tP
aPJissixcrKbr4c4OjmYf+gCmYomsN6P10FEqtPXmqy9kg/YBTgpba9hUYDK30ffQ4VWS5V36mzO
QbxFSsUOyMup1s7nV09XVZM6Ku+fO6MKPv4Ohlli9y0g0wQCw5pEcLjE/FOdp0pc7ZLSzVdfX/Tn
+8p4kBlILTc1YR+iRCv2Vs5Y6pWX5QOrlDXeoBm0T6wnn+ci6TeOiZ3bApiH3/jjRbkB4RdkNFQe
tir0nCVpdkXZndvEG5yYikdG4iIcExSrMHXDPpgmLrnb0zg6hcfSltO9bc700b4r6/jh69t25DGR
G4Iam2fFymXMHax3zTGrzBLdre3Cm0hPrNNnxYFHnuTLqPL3X4/0WVjtoOJ+N9RBs5GDqkViNUO1
nUv1DnzBIuttKReDC9W96vLpfsQFuSURyie4w6DEp2JJ+WGxb13LSZPrmBbQVms4S2e1ThWMZL1k
bzpxiTh5UHZBH04Xfspm0KjIAmxh063ZXMl1qkFG2ttdOlz2RUsZayQ7eMlZGx2jFU0nLhSz0eHa
TCuT4j4yelNgrz94/TB1KroLItKbmlA+ukQkXYrO+QaYPXrOCKTetyl8/Tr1f9RDEmxswvZoXFk7
y8IMa9KeEVWZLLX2PvPZHUkCDPMi+1b2zsVEJvQiK5IKGAVMsirCH+7XsY7stgceVHfYfcHAt8uB
uCqPBle/ktLRlowTrzjH2+eJgZYhTtAmDazXKzfol5MdDCuDr4/L3dJQhrlTo77YaLVOfLSOzDVi
XAUKDr5ZfPcP5ppP0iNt2JH7EmN37oSr73jqgxfENarXwdd77+sp97nzq+tw1w2CjDQ0v4ed36ow
uq4vs8JzHYkYNiqydYVm6tzSS7klrV6eh9Rf7hA1Byd420deX9raUL40tDifxRd1MHZK2Fq5x1l3
/N7he3yqKPremcKKX//4Iunyshpx4OF/hz10miNsOscW7EtXUxrFUEEuzmwuVuK83llNEjnLhi4b
pieNyt3Xgx+5TvZV8CPUN+PeoY+DsKCWs2eee41fRFtyFO6CIaDfG5O29KcjATnjfbJRGNnAxQ8W
RA6CTYDfOvU0x3kcx7xfac6AQz3V9T+epmw3EEwhjEKG8YmpVmIuaIOuTWkutv0K54eHSPKq700L
sIr1688vC0DuHFcnjhCwA3J3SaWquCwz0z2lHPOCRgKFXbjGSXPiHn5+AQ0VpSMfLmHS1Tr8fFU0
iMkByrgyxbgLdeWxmpxf8aDfBb11Yg8yv8sf96cMhT7H4tJY8z8xhvFSj7lCN3ZGhekUTNzCTBd2
2gFlzbs9tYpTu9HjI8LqQ8Y2v3SHnxc8fk4xj1iJbp+45TPs1Tu9Tipi5q0UC4l2gpj+ee5DLccp
9bbrYMSDGWk2nDtIZ048pW33Y9p5hpEAs1BPDPN5YzMPg0YGKDe7j0NlVeeoQxTxoz14IsqdYqPn
LQe+iF/Pw89LJaPAXcWZhNeWfePHfcAAXBhihEi8WudYy3Fvmcbtbzu3buJK0lVzpqU+nkolmF3C
n2bJvHDMKRnQCw99tvADpIv+JfFcIgkXfepyFs/LZLoYXFp1hChDdRqxKcFdMJKQABm3pPat2ls5
VMEupZm0AatxN41m9c1tk2QVlCWbg3lbUBWaeYY2xrp3td7yAtmYJ9b4ow9m5vPQESAH4/DB0JcM
U8qbqUeJKl/HoxvvlYFix9cP5ugsm93IrsCx92nLmRkVn5GgSL1c2giHi85TE3Hn2PLUruXYo3Bh
T/MJsuD9HUwA04ajXlY5CxEsGbrZfoiJSR02X1/NsRUIdzZ6RGzVqL7me/puuznFqjYErZKgIGiw
mtl8pgazJQ6sSV9g2//5LpozIzJRPhl4I/GQfxzOkRFQ1pBXdEz8X/O9q4lCy2r/8eurOvbyzH5B
G0kuB4PDaTw0wHWmgpcnjUznOhkFdXbf/EXFtdjUgen87NMy3qFiOcWoP7bmvdnd53CZz4ce6icq
CIQu8QI8OzJXnufUoTJ+KOPplhdx+/VlHpvwHHs0JvtMqz+8mynXaFtlk3jgNZNtBuruptdiZfX1
KIc5DQhXOYNzMzU+R7j5Dw/8bqsNrUndzXPaXn2IQrXYQO1BlBLrXUqB3u7vY6Jalm0hu6tqzJNL
M7X1begg7JrGkmz5AI6FqHz8ar1DU7Zt41On28N4yr9+SZsTNm8m2PLDjU/tN6oJB5yvzWBQK5TV
s5AuvmzdaXaR7TxCESpJuAqpZOZ69JD0XbPz3eIJePASMpLcl4RS7agiuQvSUUlDC7mOr2/kkXeN
xhZbUNsmPIT94cfJn5JPFUcD2+0+n36VoEY3aomiyk9pYo/PX491ZCKKN6EhgZcoZQ9P35rA+ojD
na29L36pFBxWmak+NyOcD9vNZ9KIJU/sMI68dEJQtmdHwxfrk765q9NxqIOCy4vN74ShKkuN1j3F
zHpa6MR+31d1X61oyXben1+rEMg5qUixQTxcKQmeRHPkNIXHWe0SSl+NPDe9QZYMBC0JHkbHPJUR
dOxJsmWjDIA32WUp+/gkeVd62RhV4SmERCyxqNGazHV501du5mUWB+mvr/DIN4cLZA8FyRLh6tsb
+m6VzvzaCKOCWzuQPIfpkzx3tSqqlY4s7p8MBW1Td4iHQHR38EEobUKxspwjmnCL/BovIiGBtrTO
Inj9J5avY3NU54WafQiz5Fn7eBc7dDH5RGXAa7L2rg2LV9Os7kAX1IsoqG6cFgzNn99G3VU1zcTh
TnHl4LGJgYK71ky5N2kTQh+7/1a39aqkDnBioCMLM9piErN1Ks/YOObn+e55lVOPDMTnCJgG5iMB
Iltnqu5OXIvOzzjY0H8YY56j78ZwCV0nTJYxUPUKuJtRuW/MxvymtRA7/bQnuTBQydPp63LVWHFw
X/QAeqAINtsWZxPFvxZJVA60uIDnuVYIPQIhPKbEZ8t6D4oqvNFcyHf52Pk//FLNt1mDQoPT7bhE
C+fvQtNBra0OsPVFjWAPs5f4NrkZiotcNMmmyJp6q3YwTDhADcEVfiZ2h0UEExC77FU42OEWBsq4
S010Wp0eZhedUneek7h3UZE0S+5wssmoFdWLELWQh0IJZkg/lWu/DU0Ug8kcpajPWaBxu/n69h6b
m4awbcE8IU37cP0kdBTqksXcRCv4XA3y2QnLK0NXNoQqrH2lL/7Ba8eem80e5XuU8QfvghmOeaUH
Y+7haJ1rTpe9lux6mZ/YvH72FxChjn2Cwh81gk+hUsaQhNBvXLh0anJTllGNcMj5WZH+UgQXdKWX
rak9BXV+4sh0SLWcv86MS5WWO8rh+nBD5pZZhUPYpCZSjNP3EDjdwqkN5Qa1u5quaZxzxqnMzF/L
pKtWKcwGOlw5C3mldTsTqa8Z98pOV1tlI6SRL33UYUy4covxgzaWG7+YAp9uP6AHSuwpWLmSjIkI
M/kqEP6tlhgN8VAmZDoZG8lCwnhcx/w+JIaWrwi/xTWYSzyeQ19tcHTx/2eTuQwbGa9txdYeKt08
9SiOrekW4CHbxY/AA5kf1bv3N1IbM8sTEIGqfB6xTCzGHpasAOn99Uw+tha9G+dwY9SVHfRHFwqx
Y86GQuoNS4gX668HOfZBtMgGp69Av81yDr4aaqWVRWXUuUfTyVmOZr7gMP5YJBjTw2Y8YTo7Ohj1
Ss4sQKY+bXutmsUoT3lXlJDUcWKLtp1RbpCBIaiU0Ynbd2whsCj787XAsvdp85uOo27FSCm8Oq5v
tMa2lsIfH4u0fpUR5q3QOnEnxbF5YXNK4gCLlwoG88d5MTVlyv1lnxYPaYjVQxN7Z6r7nUYtflXo
SgiNoZLLoXT1b5FKYswYoGwOiggiXuAA0C+M8d7GF4BG2w+M6cT9OPrrsSBSRqJ+i4/n469H/k8D
tJ9tTl+Vr7obPIRad5vqNJO/nlFHx7HniDiOv7Nv5uM4TaeQHY8ox+MkWlLNkc/5qJDF09YnPqTH
tq0Up3CvqfM/7IP3UCe/0iQdPvMkwvGwQefW5zc1uWaxI66Aht1lqXuiUHFsAr8b8nDDGk9GilBH
zTxwOltoBq+ukaJwtfZ10Z04c+jH5i8nUppkbB85Cx+UEeTs+Z8GO2OZ0cYnGZa/iWQHRJoKZ0n5
NlgqpQJHnxV5HVWz4FgRszyrRvnjds0jcKvw0a+cxms1ZMtYWzAbhLK+BXZbrJw8JXbbb5zNYPfO
g2OyasL9bVBNKM0AEWYubRbab7XX0LQTDzqU6lNctJd4Ess1JvjXyOn6RTbq0brNRu22RHnJx14z
T8ymY3fBnZ26lDiYt4cN2DQtGxC1JTu/ciJ4dxILqRqPZmmeUTOFRXwyefPYI57tGTgGbYqth7e9
jEVAahSvSVS5IDTLti430G2dlR745A01szD16xfmyCXyXZ/dxsSzsnM/2Ny61ugA6dRTLyGNYx3W
ozWnFE3eGBfNY0yWFqCm8OXrMd/0GgebULQ3GjeVV5Sj7cHsCpQxpTObZp6VTe4y7Fvr1ghFt8z1
0TwLizR9KLWMPF8DydabTtkJZfqQtaR4SLREW6WHuHziWYsjRUxUCVR95lUbhPbB0hEM5lT6HW90
M/no2Ui536BKIyben1O2bEtfMFOQT5np2gUctBzpySC/NsTq67ujH1nDZl84cgxY4zTaDn4RFWmE
lckow7cc67RGZnFzpKfTDQLL3Dzjcdk7GSNJxGfRLIKUIrJQMvqocPm6617vVdKjffV7SGA7IU+T
+p1tcb4Ne6YUtgkgwoNrbtHlvgKeW7Bkd2vDisM1gkFjVSu59EKrstdEV8/BaGdakei3iZ4PV7y2
OFFGXoTH0GndfaraP9R2TLyvb8Cx66cDhgfdnjv0h4Ujym1x2kid60+T4TbEnwvff4geI6GEmz8f
CvUlWgPc6Hw2Dr6aNJ2qCthN5rlwDFdl5cyWnqFM9m6YBo9fj/X23A5n/Vz91Tm98hk8PP7nipW2
fRZxOOhMH2YiDWMcH5Mhtn5ZdKvcTsWZKFT/Wg5af6lpSnCjScVdGnpabstcrf/a1f8R5/Qi+lkX
TfFb/tf8134SF18Dj5BvTLj//be7AvFp9uUf2b4WcxZTc/iHPvzY5r/f/nPwWszIhA//sn4DL9y0
r/X47bVBw/9vLN38J/+v//HvUKgTnFNyRzXeqf+gBD7hGx5eYcTk8j3A4e+/8zfAwRb/MlghCIBQ
BcchU2ct+XeyiP4vgwKPOr+9b3w9Rvo7T8oghIqdLhtQmxfb0Gdd0t9YPkP7F7si6OPGTEWgCftH
BId51r6baBQOiJ6Ew8pEo9+EtOzjJsiBoTyRxmF62HQxkYYhKbkB5oZ39+T6r5/3HrH3aQfEdo5r
fMNEoOg6zKL22w70ZRH4eIA5ePGNJ4zXGfziKZfdcI1ChBBggFr1qphk+ePrsefn9f4SUamhyLDw
gZOrzHn7sAFBJzAd9MRxvcBwyTuFgdqvukEwrqkm32KhFc+IcEt30eSRvmqmMXod2I4j968tHayZ
mNX9cbSVHUIZvVJg5idFiEENeeoyTn1A7GNdkgcSTBdtY/vfMhTbq39wEShpkFWR/8VEOvj2qrVR
6pmcXK+aBm2N1mPaZArl5Mjux/tKV7ulLxJbXysZOVEz7f9H77bOyiwCIKySyN5rC0jc9ew9Wqgd
eQGuG04b/HXpDi1OsmGTJO6yqJWbMZ9kvFCyP01+fnsOfKnmqhiio0/188bQ23bEi075h8hEoqeB
mnc1SECIdl/frU9bI544OyN0OOxJTTZJHye1CcMM9g0jdSjdvFHiepGWU+1rqVc3qhmcivI9eIne
rox+k4OcnqbMpxOLJpo8z5SU8YKovmFFAaGGmfVEiePTtw63girQKVKkpSdzqDFya5aLFPuqVwPh
gxcU/y6xG3lJ49x9ffvecBrvFoX5etBBoK3jxYODcbgoxAE1q5456GmTSHeTTfoObJRoO448uDHT
UfehKmhoTUqYVJ3pnHOiTLAxCv9b2ObTWUadFXPubFO0OjYepYiI6+wEjsEgLf19kebjNmJu3pOo
ikoRJKKhgPToJyybAYMMpaGtaSlG4M6t5hH/bHRi5/BX0f7DVdIeRDBJsYpjCyG/83b3XXnEJ/my
Dad6oJugCyh7Rb+zA7/ZKVVNaTFpyHcnOGJIa2VlJmm9YPLGXppRCOxEKTcJtIRLkF2YM2SuAxfP
1UehJdGl6Y7Gk02n6NGsrDVZIdqtcOlbA6BKASxbfnqnqYm7wTlCFagLh/swyLVVTjrZFm2YiLvg
ieUM7og0TahNmomJuijO+LqEHuZ+ba0HVuQp2ESQgkfZOtTYFzR64dzVvol9XSEINRdVKOGV+D9D
2KfLrEmCHce07qpMRQ8bBmzVeeaQ4d35806V7AN8lgjqrdYq0qWE3OkldZE8yP8h70y241auNf1E
8ELfTAFkJrMhKSYbkZxgUZSEPhDoA3j6+4G2bx0fu+xbNatVQ0mkMtFExN7//pteoM3CK07Ui3bv
BHL5uSxLT1ZSNuzScrAOToKOIixcHBfWUrqx5q0wgzNLf4KRVH/30ox8PaI9EOTrCFuioMsId50b
9DeNyNSr54sy9mrMOpwgwBR6KdRlbQP33q1KRNt+LoLQqvP5fsRe8IcoKudDb/udpoKCMIHyl1Zq
/q0mKnxU0zzdaV53IhWFb+0aLWGxwVFNmrhrEklwsBLzgF0loiZIFQddFpftfsZNxeSO+SdGWA2o
tlFbb07mziHeC/oxLWvi+xK5PGtVORDOgW3YHcg2uamE35lYp9GhFvVsHUwk9Mdxta2PDoXIN1wu
e3FEHBxEaBmtp9Lei0zyRkxQAcfWsj6atmv2ZWZqsSUVEQ6NKbpnsfToGpDm8GhUEfYKBv+8jPss
sx7MpB537G3TcUACGC6YBPpYM5g/sa6o48415AOqgtsc9X2kYcUZT2k1xkS8bPj2QICrrp+kWTCZ
SG2bTHmVIrFNb2ki3jNsFm6yYdCvCRZiu6Jzv2Ni+GHWQsQzGtVIK9zgZaAa3VtdZ1w8Nc4n4ZRB
2ExIGvAew1e2aDXkiki5PERhbFEj9qa1KCK7aEga8tPgUPZKRIvmJ2+azBa+jEr2GeBplJWbOq/T
24mXa5q9mGMI79nUdwmEmPM8HlPXPHQEbp2dtUH7pDWo1JSzfBRzrz+MDIn9UCxwXUKMG0mBpDpm
m+qN9rwshn3MhKpuDAv/cFI5jIOrLQ22FkGL2QSKBFwnw8zLiNEdcGxTeiE+u8lOX4vEGH+6KFFf
rambT7XvT8eSxIdwSiVSMh0r83Yok8hJ9Ok4GqwvFGkyHAH1UivUC683jiIPvLVlOg3Xs9bTejOb
w25j0sUe8k92xA1H7mxU9lGxjEkYkLN5MBgMXHK1hbTr9RA6DX/cbCdknJO4cgokWZpI05eD5kKY
aXvGGLiNLL+noZubO31Jq5iBygT9Gze4rjFLrOLpkvOUk8NY6ShMfZQ7EqXNHVfcnTyX/JeZGUts
ZvpyXge9/74Gs30PI16/W3Id8VmZwEsNdfqPX0bBfDCo8NJZiqL7zDyV7t0m916yfBAXQdf8pOnU
F1Ujs/uSSXiUQADmvMA73EXoxrfDEwSaFhggVrhuecXPsX0tCquMS8Quca5RF2qOXA5E0ZBNbLfl
HoHU+NIMfXUkELv/uWqZflMVNntPt1neScovt2qS0xqQYwmoKu+sDEmu15NJucwWYdvoVcq4aDaN
ELzZ3Yptxj32l3PsoELetRCOdyCm6f2KcLwPS3vld8yg6r+TWe3gAmLxTcox0A/TBEEq0TAVDgeL
YUA0lIWzs4LMuTfYGKJV9BjlD+Z6oxfQjvG1TE7UKg4ZHW4QUkd2p8nlfTWsbPlNDTy95FPHvt6Y
7amAV0b2G8jtwcBB45AIzTkPXaNdFz4gi7WKk3dNPDKYMcZx3mf0s2mYuNlw1T2CqxIImtdON9sY
NMZ4ZRJ07ktcSrypbQ49xikz6lndOjtKPwwtmwLGARbDsdbey6xVx7o0N/CuyPaNlWS7RoxPWA2S
yz6AfDvl7Oy8XP/WJSKYMKdMp0MnpyU7cPu98rPDeCy74LHcTrzNzhAOSoxLONS4BnWW2SWXgLBY
yc669Cn+uqad3anZVPX6f9Gw/g9a0f9ZT/v/UMNqwrmgkPnfN6y3H91SfYiff+xY//ZLf+9Y6T3B
2jZuHvNPptmU13/vWIO/AJcjlIFLuhHTKFH/VwAylGQq+8DeZk1wr/+7YbW8vwB+Mw+EHbR1u/zT
3xv2v7WO9PogCrT6/6KV/HNtH2ycrs3VCwYBc60/wzBCx0aqzkqc+lLDWUMiwMUFAvLyXGOmizyX
RfaH2/MvPvDPxT0f6FmeD8TKN/9nCtQAQxHna3e5UYr5jK5NOFK4bKP//lO2GcAfi1E+BRnp5jrn
gAb8E5o7QC2dyBlXf+1WWBHtQ9l0gHmezT6tzdtRxp5rt4V27WdPPf/7j3eCP0Oa2xQEpAntDouO
e7t10X+ohmnNfIzeveEGK9NK7RXCin3lscVOMPuJQ+KQIJoKeBP1bm2EMrHYIjuZA+33dGKPYAjs
hk3i48AzE0WCozFCen+dy/1ilvwsBQuB8ValrVOoJJY2+N/0W3PqL8tvRuHllfz5Ml4R0d9kNs49
iee2JyhnLVHV7XJIpnrLjE+NhUKpBYwLYQixwbaKOHfLlHfdDEsSgy58QCz225m0wg+/JhkVdTJH
Y0Ym3H4S1fRSjXQffaHEJTEw2sJPgsCXmeLrkiU6fK18kW9GqvOLs8qDS9/ScTNCSq7B5NVDPPVS
b47cKlHjU6zzuwloIeVfOnGZ+tYtYUpgPi3N4seeAipw0BPDIwjom/A+QBXu0SY2Fd0pfEikxcXA
WdC7SFlWSxGnvR1JVpJ3p3I024e+HjjURk8d3JZ27OuYMqxhein0enppi9V95OlwnDEQ3QnTqaKR
GuFzaTh2Uw+oPJ/F8ozlXPOGXTtPpgUgvHE3Uzhv7vCsGERwcbG2vyEya/k9j5S6esevkPLWf3eR
FV8SldpHnCaMp7Fawfq/or6bJrjUNSOBmNgUuwjtGs05UX6rjnlgBSAiOQlnwUHbtMRLSjdDo22k
yEvNpvu0E/6YljRoRHtBlrnRFJWMsMcWK2iWs68Ny8HNx+rY+Dzcxdu6wrGosri3sGak7KYQkBuc
Mayc6p6tqYNmJOU1RXO2d/2svbNR7GDem06/Sp0KgbDrjeyh62waRvOeq3Z6gZ+33gbtxH/FUXyQ
uP+HhuKKg1mTd0m5LXatde61lGLKDrgW1y6CcAiyOpoQwRN6lwnqoZLejdwY+z61eRJfxY4t5BLX
GobBMRZp3FfKvA+vCpwIW+CiiAel0f81WZJcXT1pPwF+1lsxZ8uzCfJ7EJhmAD5R9xDxMPykjjCe
MDuf42xzIPiqMvqU50iIDrd6e0UroaZfC5EF+xV1fhq2K0/CdlE+k5i1/MZqWL5VqZecqr58m7V+
PGV5RyKm/5sWhfY812rquz6pTdJknHcsstotbGF8SU3eTYwCyvxg4uUR2zaJ8Ik3/SIlVN7JwuGl
VOYUqYwHhQ3QsE9aW97L2rLvg2F27sclMZ5E3su30XGbd6wWeFs9TJ06EwzQQv98LnARe1T+4kvs
hHx8hsQMLOfjW8M8Y9HQEQdl/HVxfsYi6Jteu6pFiiFWxAreQivqv0vmxtelGQyf8px3zyDe8KSq
oo7cWc9vhgawNVKJyg94+3SfYBa6z1tbjh56eL99NXLsafC5AkYjPbW9G1zsiMzvsIWM0n2bGprH
z7wb7bccH4EyBV1ahY0ucNXEDmXYPN4uLdXYaU6t0b7iJISnDIXOs4GVVUTaGaGjhqPQubWru+c9
dPRwgEUmwkYNbE2juBubwAzxswhOtlZ+owgnQFOvrpoz3tm1rPc4HjgPawf5wfGUddc56WPiJHc1
yvxYpw69Sc01O9Zm+dzDtN3hvj3uRnv5kfv0jfY0/qTZrI+aSD+X0c6O2QqBURijvDTYfe8qZ1IR
E/3hp4FLyi7N+zNWG8keeayBx1QZxMbS4ebnOaQQ40RyZ68Y3WgB9V/UUWm7hX/SSnI5cxCDNZRB
0h4RiiCr1ZQd4QLghHVeQqKpq+p3Kld6V0gvHlaANrCALa4LsbQ7s9aCc4Hn3C2cshmfBRYsRkXG
OV8QVo+Bnx5XeGCRaUz6URfadFN72OHIwfJ3zUyhKrc0xElsxnwUxJGp1cS1O3lwM6bGo1UTRAkb
oL8YIrCqncm9/+zlPLuRwxwVqR3xGETLVcN0gwGNt3eN+V3genkZe7OKBH0TosPAgNYTEKbkJFta
XdJ/Ws08HlIn5cwDbvT3+J9MYUbq1a4QbnsFoDYwYin7PTKjDMvvUiOFxFfvvjOhSLRKdRZqE8RX
ZfmGtr7xIle5yyEgzH6OoGD7MQHByCEm22KkAYxJdebv7dGxvCPEGFOPFzYRLLxKCfooWVe3dtXL
87wmuLWZunmE5N/HVpaxqvpdmiKSETAEwmUwnJN0O/W8zhaO55vjFqzJm7mKrUlrTkbnrh+y0h3o
IfX6JAvZYCLVBzdqdYJjPSbLN7Kn13hKxvZUkkARuWaFR4FbTmFF6uoO3Nd+8Ho4UU2y0eTTDv8e
Xfr7VpsgBWJ9Gc6ORZ5NYBWvnpti7qQvMyEmC14iwaTtyR5pUHbWD5WhcZZjaXrMc0tZIVK/ONXS
4AVvSONQ5bzxIHbZ0Z8UluxzYt82UFXysJy1az0o/85o1+VECi79FUEAuPO1blf/stP2Dr28dwkU
Qu3Inmf6qQqhE6qSrLyV/WocJfTAloQctztXZAa/jYW32MSQzOhJTcKwztmSln5UGIX+S+J/URHP
I1wV6wW4wNq2QSRrrTuMRLG9zdUInEHzWVzsIe0/a6tw9VujtycoowaZvc4bDhY6Xsdlj/FLI5BN
aEowucic6UdTGE00VPNWF8j2AaOIKkZdLpodrnL5mbwV0CX8dAqiEs06OyL47i5B2wMvdFjoEwQE
ZoitDiFCZJg2zv1iJvnNmgn5w5S+1kedXMrt2ejhV4n01ZNXCAEw2exJPzGZd/hCDj/9PJkl5D5m
vnsdtDTFEdOnm60qH8KrllwlNDnWQEmZ4CW6TOLUYSLhZTnBs5l07ldM065aIyWXm1vZfsTXHmMc
GtaopsjLyEVS8oeSI3TMDHUAVlWczuh4Se/4Kr7a3DSesDjqf0psZ/3YJFWUOrne6A9qWQCtc+k+
Krz4gUgoGLFjIwEjLjKzOsI0E5cKv7IbW2ceVG/IxNAVaUHopolDVOb0HO5BTdstNtwhN62UgHUq
DeG48i5dv75F0L5aBIbkYdK226a81svvAcfbEMiH8iRoW+Mb26D4aUmXsa2WMp7vKRNPbspGFNYk
0sabU9ohI8cW8ETn2Rmt5otIr5mMpLW7nHUC+XbZOM1xurmYNBRbbwgj66hftvIXu4s3b1AVJnpc
AkwElEK1Wn77i8wPak2anSjyIDTyGR/GBZzKDBtpVdg9k5r375sI489jvq2HAE1HBosIGmv4rXf7
Yw/RWE0tEY/d2DnVdoRPhXP/hSylA76Di00RlgVczZDq6puXos0tegdLqqF5T4E5rth0tafempaz
mGX7Oo62fY9/qHqeqXL3/+HL/pndvH3ZzbADYjgSnn/y3GbEX3qTZvU3Wm6RaNcL93GRvNy6UZC+
MvKk2f55qMbEW4atJNJ0zoZTKVTzUUhqVQ/bxtt//6W+SDv/2AZu8wgbEiCEQPufiIcpBjNmkKf9
TV1brRVBbN/cU8aWCFcNpKUbs5jtcN0tsBHI8xipWgrJeMvLtqWBLOhagJWd0N3jM584zU/iLbwH
3wVhDAYsexOta0j5G5z/KOH5V/3jX5++t82n/sxE6cygbNJUG25SDRArgW+2tUKeiFoyFfEQ3Vo7
q/XjiUX53i8dNlezYKGNg/Mfm9l/4ucwjEOztAk18ebc2M7/+CKSEIwGdcHVQ2FZFJHnIotdWxOa
2SyK3SlHShxklvd7MpfpBqvXdK8Z5odfyO84SlqwoymXNGdO4xEp+S3QnP02Sezg8tUqz7peW+8m
4kSF94kU0xnnNf+YuEYZk62BM6liQddsJTdpgEWwbmRYHamaerWqgwsF5LoXylrOCC4Yg7YIjptt
hzGxXL5Oaec+ao63/K79VMcKXtgMxqyePRYvd+reuamOI9nWxyxpqNlplulL0pIfWu3tbe1wUcWZ
aavVlVjbB4HQmD0Fc6jYxlX2lWw2skeIPHu0rVLugN8JJEUTcinGlhrUAHLACXR6SVctxRbAMav3
zhpL9zRUq0c4SjKn3KQ8TzmS+kHtnLTM9GiUVlLhOkbuM0Z72FFrvR1zQcJ8aRJshvvWwuDOc9cq
PRJyk8ekRfMXCQV9Eus97MIoyVEoTgi5fPMMJbfH88ois96eqek7PStETGocV5yKgHgpNmGcexWl
vKcwbdUWivyvYS/dN1usb/ffdQzzIpzRnKh3NDwd60AiMu1o3PzMlj+WYiz3XT7kh3GiutLLmdWx
DjQUmXDHlyGv3r2O/nFVhnzz58rK427JJ5pK7l2wGXCd1nUjTTmZdsWNzDoaHBwPJUnXhwQBooiI
rqqOg+M3H2rRmg+bFHjq/cok6FjxPK3B777RifqXpdWxHJxp+t1K9N+ZtPXfSYqxjrpiZxy23k5k
QUV2/EAoj71WagrxrBn3xprWR2YzdC3Cs0DWc++B6ez4ohujuTMFzAZnQ79xjFnO0qB7jjuxcgIM
jdGTaAOg1LaVvBu8HAMxEmuajyERMAj9gc4osW1soBpnZY30+ghvQxn846Cv7WcjYBj4NSN8HHUJ
RMqB3CF+t6dWtqByDKixwQ62IzSr2bqdhdjoqjbbV7S7/sWYgVmwuA4uqSG7U7544uIS2nqAJLsc
hG46UeOL6QXuLu39vDDt3hAgqLXyri7Bh7ycNhkW7frbZ5Wuu9xf5RsB7N8m5ckfwzjQbjPnvyc9
HhPGOYNSbfOfCm0rnLdvrewAEMtnrNpFDUTVy2LN1dHYlqrazhqdoUUsAUvenVZhlN/VBSZ0kEx3
45SDjGzNa650GvhM2XAKRMeTaQpKka+zWIqUGSdYz0LOlM+rStELrmOB3AOscnWVx5AlxZZYbdPz
r9eQfAsKiVTgma1GDQPRbQ5u9Uv78IX4CIvXB/MUMtbxPg0xgq2O2J3mpMNSUFUQcy8jo9zoCx7Q
iLv+MaAjJjHYZsF/AXlrjvdzKQGE5iz7TRbncruy3ESklpRiZN5M5/0U9EqXqry2Es1OSAEcbCbh
TD8aTH7bEV9UHFl5xOlMlJ7CCzuEaG4C4qwsQVQAQHDMIoD/Sp1xx6g1O9KTgDMA7uadwOU8IkPD
wf8W42cKHr0D+Jr675AUQQSxnW1fV8sGKHOGuf0k5MPc9fqwPAsMG8PE7Kqjtk2SGI+wrdHRJ6cv
pAYLLj30OW66SKw5/1NtAva0DKTxJObjv/CbrwNblWC3osnso6Zrv3RYKJTLnsbjq2qKpa9R2l9f
zRzoUtpAQ6KB16AblbjIbZKGp4J/8Ye+fW0MMDSjT8HU0JuKy1xb2f1k02lFqT6wuWtm/xOTleZd
pRx4DDeDy+yxzzZzxi3MnLb71HG/x4yuJMGzp33a9S7lOTmIwWV7n9tu24Zx2ujPVV+BSAY5s7Wi
7Ph1DvTlnMO7eso21JsaaTsFaNDeDZ9Xwl7H/ufYJs1HZiTpvTcSPmp02/uD5SYemuCQlcvlJBv6
9VXe+hslCI/S8lozO96vNseki37p6etsMLY54ein2b3Hlg/uBIg6aY5976Waw1ExB/6lDSiJ2qU0
n5glTlFQ487tNlTCNu1wlLmF8SRdC93YyIMMAIiPS6WLC+kI4uKYFLH19gwySoS3HpWe3HdrQ3E+
G+xmdjq9LDNlsizB5/SmMp++SEoJ+9grvCb5BtMrOYFfuNEXJDgNgJY+xsSnlGzouFCUID27iYxo
c8p96ivekEZRKDGyDmsWNm6IFihoU7EoFn1q3sklA6CewYytPKFVGCicLZfJG6QUZrb59vJ8bbMK
FssB5Gg5dwQ8f6erXySZ3vXWT/QKFKqz1LcO0OZZelTt2joDWUwkTd57OttbNrGOysDi1HInSY9n
8a5penJVM3iZWak6PwrbaU+zrAARt61yoxvuutIq78mfILLCzR1QL1zprTbgfMiATFiTHeg0LgLL
LV4DxpPVeuMvTyTqMPDVQ0GxaUV5QBNCHrX8gckxJUfbr7AwBIssl8xHsaZ/nyaHu7Z6mnUkCZKl
MpXcg6FiCC2muX2lKinscFQLPqx4XAbULaOT381YqRvh3FJONE1CNbtMSzyNPPDFx/CBOWNy/frj
18Jc6oIjRjPG7tOZOVMlh8oREoD6Rp7Csq8zKHjN3LCgcyrc1HPYZCDHpve29NAErE6+3kp3pSOb
vYVok/L3aK+Nu8t6hspfQLHX4/lJNsN13qqARbW0ZCSojweABK4Y+k9V4Ijo229rl2ZYTW68MQCV
3eh4fFjZjP5pSIa/CfP+j7i1/1+OKvG/Ycr0b0aVuRC/+mb4+IdZ5V9/6++R1wwk/a3fxO/JgmD6
h1ll4P3FtHymlz56cWSPLp/1d3Zt8BcmeXRahC2hk4dQ99/DShtOLl0V87EtPSjYiLd/Gk7+u2El
+vA/sU8xwmN2CMPMgxcIm+HLuO8PPbHFAVqjJ9TPQtearGXcbrtaTCWVgBwbSu5KItSacLEmAlAU
GlnAZ7BMHEAraqYajljI9KC/ZXFBXwXHKNbvaq1s+8UI8AuK5974Qc2cPteK0z5PXef7ROF2C9w6
fFvh8Sf7vCnQpzd4gd2mM/8YTa4K5EErMrxfhkKcMbNbb2pFWgoMyR/aDPZ21pkpgI675nCZCsDZ
Z6tMRu/SYwpPvV+5M1Gddm1t2TEYPwmzV9jiNnpIf79fFyCVteyX2Op0K8o8a3xDsj8DfI5M8W5L
K+f8agkMlvuSZ/sIWl+7kWWKpkQ1keTPRrbgiJxR4UVdXkzukakztRXN66Nrj+axJ2L5YKqCmJJg
2REssk0h2xx/kck0D4WZPy1sjd/cwkuKG37EugURS2qGLmzw0PUQ/HY2rqaDoX2okmQfX4fCRS3t
aZA3AmuHbRmp0hO7XbxmXuvsVlvrr4ZeObdT4KidMYyecRyJAm7O0HKTl7X2vUfpOclTNyymf+yS
wdJI+pROxdFt922ES3fxOrH3oIQ2vahEyco9kFPYYlt7csmQPA/S416ONZxCTpiEQdqyzGfq2dQn
31FmUC/c9dqK1M71Q0IWxk1pgEIPHeoic5hh48yriD0fYhrWr22x95ckubGb2nyVq0U1vvba+hRU
XmUTYz57+Y2t6X71kndo4Z8Zt0AL2I2CCkbb4QQb9P3BHItF74+UGMTY1rDvcuMj7dkgeXLYvDso
a3d1b0cmBeMd4Q7zTukJ3OlAGMd8WjFpTtwdWGsVlWUzkzK+sVVsAkEpB+BRdSPISrjZ52Fo7JgM
ITA4BqlkDiQ076lUoLCOeUzH7tbZTOhXYmyJ0ruz27VFSoxXuiLSyivFXrhl/6xp2YOCihB2fMw+
XRWc9ml5M/SZLBQvT/bJtDzqeEmTnoNEFRSvuLS1RhimY5f7IWnNU4CqJSx7o9/1GuLS2lY5+QRV
s5/9Bny1WtajDp+PB1SZzyR7wGH3mW4YqRcSRKNFNq7B+0Z4w3CCKFEcSWb90TVddepIYzq3rjfG
61rjvAhKQDRI1EO73Nsrsbmlxuik1kSUtho54RIgiqSC7JfDoUaby8AgaSSCZZ3az+6Am+GCAGSM
SwrlSiGIZXB9oHt5HHICRo0mh2lvOkSSdoXxjW9fnAtn0bowUYM8GpY1/qKaWGIfT/I9NM35piXZ
ufSkhTH/ChGgbY9idh5bq7qSpXRZjeQQdKO+hS895S5G5HpP2Go6X/uA8mStTRJ7l10K8oxHdxb5
k/3ct+3BX9RtwQgINGFU+05W5LokK2qkxH5xLcTVOFL3sVFXvyqbdsAUM6k4OOA/5hqC09YwomCg
PAK0YhPM/VtbEsZQ1Jjegv4YIRoK+4EEFrGrVSciL5hm3i2J/o3n4R7Mvu4jLQvGG7+rPlcPHQ3T
kuBEkgKujB0ReLgQFndZMBQc/Sh7WBXGQ5q1DxOO45rPRa2NuFO+XXxU225WjoknQ7+AiCilaV9z
s3VPjRyyiAfW7SWy2TevzV6JKWMCYqrfBKUbN6kHq7PPYQEDc2BvoCXBaVzIUu/Z1h8GvPhDMOXg
WBbeNXG7h3ka9D3bhH9uCm32ItJRhu/sK2NsTl4yhdIairvCHKcI/uFw0HlQe71pxzsndbKrpVRw
2yn9unbaAC+bxIHUJBEtGO+Jqt5jSE3eTyE9jNn6a4/rP3dogxP1Yg8Fz+LrNfZHZudAQxmnQwsl
sjRwGiyGp0qU7t6s1+RxLudbCVk6Utj8P3ta8ewAeIWVNn30a/DqpsycmPfyHo+SuXvF1Muc95T1
x8YtDoFZJNzF1r4zjbQ9zH73KXBJ3znd2t+gJH2S+KzxApcgV3VWkUbfzvpdZljXMZCXqs9e3JKc
BRMwVG/sJWSn3bla8G4Hcx9ZthOV214qNf+b31uHPi/UVfHoyNGZMFRhG/XfyyQ1Xiu8lqGmeSw1
zYYi7E233jLtCFE44fI47J2pNc8do82wnSRZTDAGsqhcKv9QqXE9Zs1wM0gM7/OkPFAR50Ry4+2T
M7fiMIMJmARe6M/ADQRljPYngR3D1rhq/t0C6f0hq7emzevaW6ZCWrTME1FOhZP9wPCNVGVzvKic
mGwxV8+GPd0I5nrBtHKwFkGwM7vhkeC5uzb36s9JCUwvl1dCv6vdxPW4qmzKCPVofp4W4KmuNvY2
OLEZ0S6ud4oWGrwtaWVMDrhxdnIn3S+atYT9mFpvSTNK8gINIiu0boAy6ZfsTFNtiW+pNvVM8zpg
FbrgSMIvIQOUWBTDMORejHK8mOAfUW6a8iYYdcYjlvacafN2PAOqNnAgNd+5m3XPfIG5Le71VE4q
tpcKCjeiwWK8ikLzj0Ffric1Wc+20uUPnDtI+EhqaLB7YqJoIy247AgG7AaEinPW3E1D8Flr0zcj
8/JosOfh2jvi2yw0LWpLjOkXvOZL5IF9Z3X7UbnNiVH8d79HHK1yIqk0Y9gZXF5sgpu+s73aN7Ox
JB/FanS7GRH3EdNZc1c0U3ZwablCn+COqC5tLraf3oIUhwCh+9othvjli4T8ECJx9n+7uFvFoyPN
EGJ89dH43vLozZoblqP/ZpWOjODReC+0hnmsJS6B5l5WPAEi6aGa9U1SimTTshTh4va2iHhgRcgI
lAbWBxQoAr5eCuuSuOufsit/LLrmXYNATN+tfiK4YszuaNaceEGUTUajNABB887OolV2RGDrXXXu
17WhqR9tagSR3hpmdQOxuYwAo2mAxqC5+uB3QMt+Nj7AN/BvVs9tv2tIksglUE9TjwiW+CuSoQJm
mxfYNj/b0v9kd6720PmDmBS98TkvjLMrrOAgg26JnVnLd4l0OSCQjMcD8VhRRrSmiLSmMO8E7XiE
qV97KYyeTJWhXy61ja5nbgzFJLH9rFJ8M4nAy5mzycl4ZIPs1c4imN4P3WHOqoMt0n5PaHfJ4dVr
4q0l0fgM8ubsUYXlL/rcWcgo/MrHQ91eLMLILOOHqBz3B8EkzNPXLccrgRmuGRUFw8g9N6Hh0m8y
5rPr6eSNqwagocfCInudRmVLQxcdDDQw27im8ogyqHVpFtWJARZ57sbZ25f1lD6SxzJ0xi2FVlQD
d3bBenTN+WeTuO6hpauN60FCeQDROCaCEJNVOUHIIXngqZ2cwib5J59kXDVNAaI5vk+DPUQmTrDE
2CQWaSFNEnZJy/lXNnDqBJBEIodQ+kZ1Yw3YcWZdMZ0EOaFJZ90VWWE95zb+5JV0/XOe1c25GOiU
Sy94XNZsX00kYKAbtg+68WOsMgqmArimqJNnI+3qsGrNONFsUt0ziSOQ00HkL5JT5y5i57Xo9AXv
Xc0UOkRla0SNJmSU21PswwVnOwHAQJk0MSyAB7GW2fsc4NtLgb8nDFQjDEk+q4Y5N3axEsS5Ps9u
vsT4wtUxrUrB66ExdEo9yZlYNcemsa8BjmsHZq2flRifEbRC5HJJUqzpU8zBASWYBWNxOcTSXkjM
kE53q3VkmxIjb75AeyEHo6rrZzUQ+kG4AkfdgqV+YSAgsZDJFGS+AQAVyBFKokfrVqo9xKQgypsk
/1l2RkwiIYlkkCR3qnLDRcdeyFV+8uwZ1aXNRvuus4MhGlvxm+IXCCjrd0axNlGmlYTS29O9YpCK
rH+snzu7IIzCHtN9a4tgZ+OFQtHtkyarFdUt5LLN36Ws9/B32zvXT37ofZfGAS7Th2wu1UO7eNo+
6F0jWiqPqseQwT0KmDuhlvEOXldUN+T2rH1XhpmtL3cmLCQN00i86xoL4sk0oerw5otveT8b+g3Y
GG+mv36k0j14Rj9eaHMXbka5n6v1mPjltFs17VBlvzW/xR3R7fWL0RfyBp3nN2ysIbxkbI9Z60dA
b/peStrbyeysA9xGtDSOEVpFcWaEywFa6Ce99J/BYZDW5+uH8sbPZEx/NE3J+9NYD+Nw6zXJM1oU
suGUSN81jUHQCMII1LVGqeVd1sB/9WUTd0HQHEoOxxB6FyQ/AETCKXTjYtvyoYDDEGl9oUfDSNYX
IaKpflcmzUx5pn2DezD5YVmrlSOhSLhcToI2/C/2zms3cmvd1q+yX4ANTmbekpVLpdwKfUOog0hO
5jCZnv58lN172+2zvGBg35yDBdiGDXepJIrF+YcxvoENJNlB2OmOLXfwl7lNfpiITohgGecgMY2u
DUYLRRET3+I1rySApzQVBRBDA3rKVJk5BV7Vupgv2vJu7I0e8uvUALZzsr1MtbgNa4MlGLYg7LHG
KFI0hINNk1M3n0fl5ceBnd2Rqjo7+iSm7S2/RM0/L/F51JWzI8n6cW5Rl4DfuPE9JW/LVBPvdtqp
85KkzgnJVHsw8jk7KUQ6O3I820ernMFvtMYbPby8ZKVFgx/rN8sSD0wuq/jKnFwzVIjEL+CY0NIs
UMjMiv2qJNVnN6DI3PW+y9ibZWFkluV+KE1rE08onwpyakji6tfEE8R9pUkygQWA1qmluTWSPLpx
RO9g6p+/olzzmea7TD1zrhhFLUGhsGtaOR+hesGOG4drUVSUFV3ichb7X9BaE67uueZGFskQaLVd
Uga1y2bM+PKdP2LloMkiyYbbtUBqZLBdxEgfVki8dwmKuyN149FdnUt5Xgy7FQqAAzInlamwy23O
clUC66KZ8u6V1Kw9rTATF3OSr0OGsZbVmZ5dOKo5hUa6heu5888wS7yghqi2MYiJJQGvCLWB9qMS
RnN25251xuT4HTMiqdqWqDk0B/q5z5r+1FXme7MgL/SxIa69hbGk14Kn+5YU2eJWtvwaq4wFlZ+h
VM7zEfOXJgIcOf0mazztPFryNjXI18yq4hI77lPl+d2e+rqB8sPt303TrhT6Hpz+QOAN7rEaXtiq
yOFLecoI0rT/sVT1nVP1l7kmwK+do83Cqpwpw5ppZpYhduQyGPuEH495P1P+UE8mnsq2Hh3gdLTY
bWqbomU+jXxSQ7WqdHTV84y0RYuecPg6uPIrkgsQmc0tm8/pmHazsaGFPPOIfgK4USJ4m7a0WtzJ
glzhfujGgE+Dfg2329h708gYZeHQZVB/bGtxP0vt6Em1XQYnCxHjlD6NzlI+N5bG2GQcR29n5OKR
Z+e9QSovP9HQb7OPREBvDOOWdrDXdMALLHiYCGxElI6nBPEDoU/l17Kv/DsZa/wiPXvfMOjeOJO5
fPaEdQu3GGlqLQxWePqu76AoWm0rgYVUaC8c9n9I6F35WETJD080191inDPPeTOFQfTwWy+Kveq9
93bdI+heOm/BzRLHW/ibRpahkLXcLM3wXvdw9nIt+5I0WrJtLGONqNDCzMBLly8es5JF+vGmLJkF
JGKhbJEReBx52yY8oMNOtc4U1thBbth/GCeNmr4Ophj88jjQlA/N3PKHOMnrIUMOpdfNtsTB126S
3mWy75xrhJlsDUJSxAsKsSxXO6Y4MbRvRUrYItyGE3pu1BUQLYJP0FD6ARb99pjmTXTr8VTrg6oT
rU0cLlGaHonLi9M/apZTdLvC65j8t1o2tqEpEkZtDj3CzOPDUOlOWr5oWKZzjeyoZubA1lS/Uti0
v3YZAdQ98n6/Y2IRfAyh/7fn9f8vmYZWfsrfTeKvf4z/dXgr6g5F+I8/TeN/e+VP55D+yQEi+jGH
N/AG/XQNGZ9se3UH6ZBayGtZh/Q/J/H2J3D7QA18DEKsolc6xv9wLsBl8McZ738gyv+RbehXFw+j
S74QWDNUQaABfuUn8HmfYo6E5ZCVPN3MBYKl4cRPf7got7/ptP6IueBHrP+o3vp4E9KRsEfxc/6F
fdhXg1b7PvoElRlkh7vdskncwQ1JKu63f/9Wv/qF1reyuCwuWSMujqx17fCHtUJVROgUYvz005CS
cZqn2ZnAiIipX00hHqf9gfwkDQGgbbG/n6t/8/Z/uZw841hzQ91ZIbUsV/789kxdPHt0jObA2uzR
KNxnj8Drv/8J1y/xp4u5voUNAN3X+b3BWvrzW2DSnpUeieZgi/Fxss2nzkf5qmBiE4zW/Pj7NwOs
/9e3Q4vu2Rbib3Ql+qpv+8MFNeMGuSkD74M1IkLE9C1q5AxaccrsqDjlzDKtaGzYecRNr5PiRxUX
NORttkGRtUW76Sj5A9eIhR8k+JiONHk+mqRq8Dlj8zyGdtb5sgyMRtTwyJBwtNJnQiYL86shx308
dP17aXloQNpeNwjK9utQm31VbBi8mNesjnzk25m5Ufo8Pc0SSXrqxGMcMCUkbs1q1ug4GxQRcpoK
5Wpr3kUx+l67Z6Hv2FRdg0WTpuI+vlbI44O48KNNhbgQTYrd4D9YliPl7oWKZtiZRfFuufl9lVrf
mJXdYUAlFpvgqlOtT1/iwaJ0RxODSo6viYJ52WT10uyzxiYOsxSkv8nxR5v4zdFFTgkAV9ukftVu
LQNp3ViNzvXE+CL0NSc6GbH55OLdOckk7cOmY7xK/OYPk3He44STdjMLKa8Xv4kfe4dFgvKyUPeH
eOOClGFAEg1EGeXRVupTcik7tCoJpUXksTqxY8zFGJu1fkaqPMc+uYSSKXRauf5j4w7eJsG3Fhpe
6l7VH5l+ZS0igUCvbZ3PVulqz0k2tDdIQPg63jQZj0Dfh3Pepuqgm0hr0rYlyt3Au3eOiqa9VEjl
kV7h2ylGhn5N0cjbpmLbL0dSOodZGbshzfUnq0LsPA/NREWSGupVpTo7BGIqxZVGPM9jmjTLtkzJ
hY6cwtokDQixYEyFf1w0bLSI4dq7einb26LtriI2XK8ke/SPFgOKA7WAuIjJdEjG4l7gRE130BOm
fQnZIEE8QiGb0khK15wOVpf6d7oTyz2iyXbNrq5u8a9vjE7Nl3iq6ib00f/viPVsXivHJjk3dfAZ
i8lGsOVb6owQHA3Nkji3qdvtoggVcBD1IIN9EX9BZpcw8LWfpyE+WUXUUBWNd2jMIbpjAdYGqe0t
ph/nvqMkS5OhCwYVj3daRBCnsfr1hV7nh5nu8mjXHW7+D2M/ZpLqpphXu7+KQZUEBFLqd2bUzG/d
SgbI+dBckXSsnfsYboA5+RRnuQaPVcJE3WVR424aveHd4g/wgK+R9lmtNIJo5RJMK6HAy3o4sCu1
II6i8TxJKUN3ZRo4K92gWzkHRVYQkGvprLQiBQVh5SGY4H9Oi5Gsuaemhy8fbgJkbUlvgl7McZM3
MzKf/ZWyEK+8BYDt+sEYTPSG0RVhXPFDVulWIFyuNL3uqbcqFQ4rw4EdZL+JVq5D44lVXy0vWtfQ
tDZRvimb5Tu4BLZpiZ7NgRfFwzHSYgXwTb+jx9/1K0mCpCgZVH497hf0DCFIyOZzKzS34PE0amDN
IFIoozLfupVSUa28im7aYa43H2279sNSZG15LN2hu1Vabb7x3PaO6Uq/QOeah9NKxEgSinsq5Hq5
jj6QGeZKz6iEl1/xQFqOYvJHLCr2a7vSNvCkasHoRVUIGYZyX0+uEKXtk5XSUQz6ALBjlaflhSiv
u8I75oPxOSsSJjiRoIvz2pNF9DM7NS3aRCsLhCB3gLvQQRYwIa4yrDelI/hEmgr9xKKEDuyVLMIj
wblJV9qI76Clc1YCiemRkgr/eXypppEQe/xxPEl8SB7gRPgAMSeY5LsvtfwZior+GK2sE3ORzsbM
fREK6DBQcezc3LsrH8Upub8EQLrvxUpPyVaOCpTIMGtd+WQnwIpnP2WO1JBWii4Ak5QksmWbr1wW
tRJaUJ0CazFXbkvRedqBcYxDH+N+c4UZA6Hw+b03K/PFk577mHeT2JcrEaY1cFS5w5weQGus5lXI
MWplyFTkLBzsHq6MkxJekWhxjAVpW6zsmXxOuPwrjwZ0UrHBJeztuEj5o4m9JrR1UeeB1mfGgwXW
xln5Nph2rS/T4CTXoLKW5w4MTvUBxJE1bBz1QclZeTk9y/eDtTJ00A1A0wGrU658nWgl7Tgrc4fz
cTwOK4fHb6bKdc40QLOBcyzv1G91xf92+f7/HxlA2DpV4t/Jbbou5S+g3H8q8X973U/BjfeJhIlV
g0Oo1O+qmt/LfF98wo5PNbiW/j+xAPzr7/W8qX8CHOpCm+POIb/A9v6JsgYVzy8FG0W2j2gNq4Rp
+nwsfqmA0Xw0dkY0ybGQeHjdGEUucksa4KVAz233aBT7ZvWkG6Jn2iSQJVrBsLq8KxZGnxf8ak1Q
oXdFGpMR58BpNaMGziIwaazqsRTPWv261Fm7GFihUrWco9SdFQ1wDapD9BiHXfBifJdMMuYE8vn1
hxkYK5KpwoY0x12bmD58EsIJ7huNgUUr0d554zjdfthfPzzH7mABxLJxA8O1RUTKt4mOnyi++o1I
wWUHCQGZHY6G46xmyVQnsRicH/K5jlX7IKJFaSePUapgEAx/+PsQg4fajb7LCFsfojjdFiqeWuZJ
iWa/JjCYyLBHrdkn56qHi2cGI4Pr8bYxXECpbuyNMbWWlngwsGYR3xP36uwwJhWNBe+/0BmZdCyn
N+BXTCLFrfVPxkiS3Zepzepyjz7BCWIMCHB654TxRCQ6N96I0VtML8RJK0hACwonAj8WIGX5Wixz
fDO49CgValxkIO7c1AFLYe9lUVOvMfoYpy1mEZyizrLp+a8A7wMyQdkM1y6z4S7M9Ng85I4pGLYb
1WaMouGlJfXE8/N90Rarvc7L956/q9vBk+BNHIZKjP4aq6lvCXQ2uGFqFwsYT8m16o7uBmeePjOx
yl70hOgBNy9pG2GPA9PL7B/rOXAPMXEKUFs2JLZr8LxQY1Ne+uYrTjlqNXJfNqnLaZn6ZX+yInKW
hMjvk1xmd8MEYDBwNYLzyrHBuD46TPlKWHzzIyJm0j403+++2qvyuMBNsJlYhR2zGISQPvbF2SWH
HIO9hdKB0pexN5LnRhPJnoLN/+bg7gQ3Rkzk7aA5zVs8MGNj0jfr1/7sMQXqpdBO6PV51ayX+l27
etBGfMlPppE/Sq02Xh08Q3GIzeVbajjiyfH4UNEaWTvmdtYKxRpQokzYD8zxRxR13tuCRGDr18RL
44mP+zf2+Fu5pKTeJqMVZPV4Hiz4OHnW5TtzWEw2IXFUHdrYyo4VxPcLplfxOhnKuxZuiQfXGPuj
LwEUltbsM8qvusdOVfGNOdrAyczCPGOWn65zsPqHIq5t0gYSQWtTy5emTOQrv9F8P03KPKtqyQ+q
LLG6AMb+Vsc9EfJRG7untDWX28buB7YXmJOKtBZDENWey+iwLzjvNLQxGlCGCxnP5p2/6A52XT4S
h3xqIzQ6XpqeSjZMN4rN49XQmunz1OkIcE1g+5c6G9JLn2TNo8rU+ABRtz6ZWVxCL0v918qa5VM7
OP25t2k1tyhSJFHf7mLsRJEUt7buR0fQ2uO+X4hQ1yUHctsM9rs9tM0exOL8PEkU3CgOjmVWF5hN
ogv6W6wyivpo/NCplfHR8OvzbOsz2gWTCbSlvqtyNAIzI/pLJzskKG3WIkJ0OMzS0t2BgIKsPTnN
V/xw6qw3Y7rLrTkNndIa72TFfikho+NQtYoecx7nF1Wlyzc7EsMdFyS6oWlQz0htREifWGz4nPSb
qpgkpmJL7mtLOg166yr7TDxEvufXzqdFW3MR3Kz+jqGy3y94GDuUObq5pXyyaKPa/haWRWkgQZhX
hMSQoPe3jXcKbbRSuhMpbmU2Fr6BxnzKhksSFbc1goBrozLiF9A1+X6x/WaH9UobAlTX+sVJM/3i
95l/rSGRu5ungeJYED93VVUi3/v5dJM3irJH8EE9KRVbmwUlRxFGY890OhPxqa7YHcSeQ9erzPKi
GnayrsmjBlnDWXNseTIaSzw4Myq2UO+1KOwaZ/6WyHFiKaR5bcpkWcpDN3fNVySBqOdkduIs8bcR
eXa0T0N6zDs73zcEsDyKVnb3MfHs1wZLd0L7GnTcYJWbz12pfDQd7nIZmAC/1ZVCiynEeJ+nFWt7
Pj3uVTmO4PtYrc9hFjf2oSzt8aTFxbCPOkFASt+aJwxK5c5Lm+ZptO3udrIZ9GMsXPZmOiV3nGz1
q+Or6qvXl+77nGY9iqaeRs734++sGeWqimdh3tcEsXjqPE+dvXGF3rPR5/uk4e8YyRNbPwZ6lw9v
dcEyOhyM0cSYsGjytObrPRFs028rt66OAN9T8GqOzBiOiGYHMr559uLScbZWFRdfzTj29mUzRRcl
Iu88eKWGL2xpj4nvoT3JcDnMBucba/M+v+4t3b+RXtFdMjH3W0WkE6mBWn+Jeg3RmZUhSsldVkZD
qZ4B8DqBUSPgQKMHnSTozFHd1XHnXS2aP//QTZWrwFcpx7XPNT7nY689JontvDZU9fspQ0XFcJtQ
1vWhTUrZskTkj+hehYWCkQ7ZCqTFkj++ybx8FoGMbG/v9mzCuSfG1IQ9pjV4ockPoyb23iCjEUKR
mm+W6qqLFpf2g4fiJAD3al6NvW/xGJyNW6jwOo1deVl/gacmN8V+AfM1zGW6klqMi/J6eYxp8kAH
ljCZYsP87Hr9sJ1cDa1GU9l7zZGoBXzH3HrIrDZsvAiXrcz6iGipuwMAYX3DDpL3MA3qZaPGwX8Q
NsrfsumMnZ60xN5GMrFYCtXWLc02xgBjmPy7PIb3AB6oCkfdvPIikJgh4w0duTI6CCZwJ783vK1I
teZHolKjx9qH3iPqG/eAwqwOu7ybwzKau9t6yWuC92pmkIlhHCZQEiEmAC0cx8Vf9pFo3WdqAeNx
MmnggpWU8O4VmnotQBXtoqx+sZvc3WrSvwNM1kl+Pr2n7hhJIjB45MWB7GWC46LVjrBzuzQET9+C
NtSa5Vtat0WD4DIaT4aawOxyvJFbFHNrWuwtZGbfRtSmO0HU1VnhuJE7FG6u3JhMaSRqOktdm7h9
2W61T+C6i5thHKw6jNCE7Tnvyt1gKfgvPfsPLRXuwcCUcuMKd+JUcNNXCjQHWYdEtdLMYJVrGSEV
zaCHuAICzJE5oAi5s/NbHBOIgVtrknbg6hXl69DNhD1m473TtkkwLuZ4dPS5vGHViAoxN52Wm8N3
0S8sCTKDzNhnOo8VFO4U0xOVaomNUR8fBj2PP+tZlX+2DGpAC1WwBQixaW7qrPfPS7aGW8d2dITC
gVg81qWJoLniBEMXEh1TNbCSnWJTnmSPjpqZn0gVJaZfHVjwxN0Ps5Bu52csQmeBHhj38FU04Mue
cE6e7ByJpqN15gUlxHztN6gt/CwFxRc30ykpx2UbU/i/LEhZpOU8xg5uW2Wk12WKsiA3rVORueIL
fC2DZSYIzyZCsxy4hfMCxtE4zhBCg2FMILsqXDW1uby1CSQVV7vzarb2Pp6dTb4I3FkNEqyqL8e9
DhU/zAAwTbQI5zQXxTYnFotfi7mDr2WFrKMUowKKGy1PcYql5gVQyyvsB+aYQw8cI8vyTZZ5LPyL
nAvDDJHJBztATBB1ULlWeUKaaiKy83ZJXM4nlEU3yWwZT2Zb5lnoTYxpdadsd4KFTLho0xJGmTI3
SzWzaCNq3WVLGiypNF9nzZhQF6A8Lnxv70e2ezM5SRbWTpldADFlbxpZJcYqaS8Yzh1qLZpPqFT0
S1Lk6WaIRytcvJZjjrXRMa1dbzd3/RLWHS762VLMeCpmzaWWc7Jncr4Bt51vSEHapktf0CfUbc/G
Hyn1H7rW/8sW5i8UAnZNBL6t0VpsnP6S66L03kt6SlCgROVy0VeQgikRmgVW7s9io8dJ+21SQ/Ot
FtCv/ul7OwaqboSBACT+muWTROwnU+WlR0k0GeXjBG6pZVcCGwIT9YOll7wtdVxJuYB76u/fnN76
TxsTH48LDDfYe55Nopj/y1IGq0jrzEudMmADsLVIQraw/yc3XuZn93//Vr/uf3grTOH8vXbeLKF+
easUq4UzJbjSVtNzueXzOeMnm+Pq3+xl/hKEsL6R5VrsuljOCOfXvV1WzTNSdzc+qhphSkKk19FR
H7CrtMcdmUFsGvwE2e1sFW+1G9PNjwseRcJs18Ye4V65/fjR/zM/+jdRCIYp1kjUfz0/WpfEpx9t
92P+0/jot5f93BCbn0hHdNhdWiTJfNir/ntLbLMlZiDuGiw0/zREssQnbmewEsa6DnRhJP7PUMn7
tM6SdJ3/w1gKpMc/GSqxWf71I6Sv/muPdAWSFyyeH3/eAhpNy4oEvcMB8BAFWNma/Za7us3OCUfP
edI5vR5iu2Nio6eJOg5p2d8lNSSjfYbOIUO5MyDV5SSmXIiUiaaeyYtRTzFoyshK76gmdYQ3pRnE
fsOIetLGayh4HDPojKPHySjtF8bGb7lgYcWXeiTd0H7os2q561r/saqJn8tLmrigwu2KnVzw/GzZ
v13UuM6NGASL+w7FXtDXvf7iQ3516GJT474sx+zUtQhcqsKjl1sfvCO0NpC37nRdwBreCE2I+2gh
SalAxfjeGS1CyboyOTGGgpo6HiTWC5oTRlMDUull7PxwseATfVyobKGFXiOA+P2noaZ1vHokufRo
U0p4e/a9xOXKQh0XVFAhpjBe2NljZyC3XjVFTuEX/vMglyYOy9zTX6AtwvStBz8kgpYmX8em1o9d
exw0AqQXwSQtQCg+77q098lorIjASXq/RUiapphix44FeSs9dqhGHWuvSgGqpPgtVkyhKa5ar/P1
/WiL/GnOcqRqQ6zES1usS9hsor7n7E2mG6/OtfeFTJxwMpvoBPgj+a4xbL+u0QDvP76/bv2uuLNb
jAj882ggoiphpuN6dh2mGTu9VeVeKUzRlYcRO624yB1cuG25AAQL3D41WHsIBStA9cAHrhwjSpJD
lAtQp05HZ7ZLbBfhmbmsnGwZoYgttSojRrM6Dq0FmBzfEaP2NDZesA4Tgizq2UMqDMb4oPqCewGt
+kmqrtvw7qi0u85Ot0BDYHeCRHhqNTN/SOp2fmnqpLvyEGk/ymWgzqA8djYsMk143yo+A/dLnklG
NAPOU/uM5CENPRo01Ow9298BNX4oF1vb2otBlhBTDMY/doMWHsOXs/pOltelHOc9lA5/n+eG+T46
GGCYyBRFBRN5mZJNbMiUpDmp98l1lld8LR/QIZBpBNJGaJnUTmkwtJUroQll3X0E3QU8y5iFJisI
vLt6dCmcIsXDF4/enqRmsWvzxAT+6RFk7U1aFWQQKXOqybTw9pnQu4e+sl6AdiBltfXn0ptm2DFD
MyaBROO9bIcsvxQxkJCw46TaAZ3AW+UadchRTl0GBRShnPJaNJJ5dds5S3HXaSaz2HlmmJNa4qSg
lwTo/eJtgQhqVdD3W9J/lhNNb5YHGW1wOOa2+XkSDiKDYqa+j1rMT+M0qsAC4g+Brky5qcYo263h
KQDs+hW1E8klVGOnoRs3u4ui5bmZPGA1pTbat70d441IBnp13QXlweo/j2TgaT4rJr9J1WacdPdl
WLT0EgkBHbCV8gfytmM786tf6nUCTfgSgZiiwnkwSxPAvs5r3pbG50OvyRb3CUCn5qFBJCa34yCS
rUoGXH3gK5fPjBH07SKbBNA0xI9Fr6snpiPz3mhcqKWMZCq8gHGtM+2dF4GzO+8RSiYlfnZVUrCP
PChEoPJR3wwOVKyRHKS7ZFq6Z5+f3zxa0TLJI7Qet9s4SwypgP6TSS44UvhvbHKDgs0YP3+j2BAk
biVCt6zbsM2N5NFhjr+g0mBYbUD6OA+9zLDntym4c2lg8zCdGjCaP0wgBeMyHOfirVr0Ztums3Gs
2CVfV7PSHineefgrA4yCP04S1XSZ9xjnvaW9bb0MR1GJ4gAT+3JnOANPpc5R0evHk6XJ+ujdn4rs
lFd8Qg2xCHwd66cIYIL9MBHE8QQ4z9s4ms5jdViFxwHbCHr4yin3E1b/Y12iJ+bjMBr3wl7fiBZ9
2tC68p3kA477UR+HOkhGzS+vObbna8Te1bypSN3ZduR2XMAF2L8lEf6nXPp35RK+b0Rb/7pcuhAb
9Vb+4m3/eM3vtRJ7tk+6gfaJokfXhW9DMPt91UY+N4xudMwmuVE6LSrLr5+KOv+Truv8L0QPmE1o
Qv67WLIs6ijAhrCxdNsm81L8k2LJWrV5f+w3dEKVCNrhLxOZBcq6tUn4g2SqRnMMH3aGYVHXbL9z
rUBkNCaAduzGyeaDSxpciYg4Bt0QpGZ9gX2shTmhYt+7CFcly6aCp6enr9j5ZGnQDzOldL4twMS2
5A95Fgaber6qcAzkz+liNVdVt+jfpRlPPEZVNqlApwBaMbvDYO5Tzak+u33v4g9v/GE4TWbajpeW
hnab9BlzC1bKSF9mB6ojnU0oVES2wqxd6QpaHjRrD7SlLBdjg+71y6CMdmugRj9aw8T0fKa0+uHY
OsLWj8Q/36PH2LKoQ1BoOUl6IXJzPDITdA9aqyhSqkIiS03L6W5otL0hFUkjhg9ibDL3iZb3mGHi
av2ucLw9T3ZHBokycePN01XiCzYnq+1MCGTrIuo3ipQSZuKu2YLVFyXdDTOhtqPHj9DZ8ojCH4Iy
Tonb1EjtE3C67hawqXTOo3Dtb1wRYERI0KL2cXHIqOxbq9Oss9vGU0bcB0hvawS4uG+9OoGLOhnj
BaoHVM181eELQVwFQrBiAJVtJUlvHiQD4Qr9UpfVg3LP7OpKHEywQaEksK9LMiVR35N/OBnDURQY
SNFNjb7EOoz7xPERycWe5ro1EA6GIINpULl283SL5UebvvulW69aC9G9k1DIyXhtoO0qxIOLj2rn
9KlbATp1I/elHnNsa/DdhiuAo9nJwYLIhWqziOTFXMljih/C3LZ5dicEGjQ9pYqNkmy86chaCPQ0
ldyWGEI2c80Jq7GmO3kyq6Ck6ssOTGW2XwO/RFpP972jLPBlWm6gZ2N8SjhOH588r3ctqhKudmhI
LzqwVKPQzsmoPBJ82u6YSHZvlVHn34y+ESbzEDg/Qdusuzgv8rAtAUDCd43G8dSZlEqWGeeMf1Ip
DlapviTSGvpwqSz7VuMK2oxy6pgYbUs/x9IqdsAbtP1gWpj/ebsLm9B6zxEy3ZXgkFf/jydvLBG5
SKc9KomMAKLz6rtFPs82d+NlTnkcQGZdp30kcR71uXXleHI5lUwkEY3rzKhV8sb3CFNAx0iq8vja
STpmlMpyrnTX7V6SKYu+JGj+dtSTwx4rh7XNGiojJdz6s+yWa2C/9t16Z9+wE9Y3tIGAAhpxWSRy
eKA/feiZtc32AbcLV6DW3ysx6zeVncUvcZ0u57axCGSnDjt0OUL1GQHkXsoh20dpRyR9U3ffjZH4
+dpp/YfY0lhBm55xBenxaTH0m9KUYBgwWF5ly2AzHGm0g5Td+Gw3EJkCSegOdlvTeIVIzVpMzUvF
OCHXzXsHmN1WlJ35rrkelrieq7HLFtkfVZ9/Q3bsw6lgC7rR1Nz4QTY41kNtjlMSYiiuvlneHD9i
2It1tAat/RUHGhAqKnC+Rq0dWWEaIQM+LWgUMKZRx5iaTSASPCRn0MTltDPL2DtMNrLlEeSgF4B4
lzvqOsGNrvr0LPxEPXLe4wbg+jx2U3PHbY1p05hhmSdaaGeRf9Dg2JC8Bwfo5LUajDYwjd73ySmT
Wz/30sMQVeV34j38Ta5D7Q/qgjSG7VxZcIJ1AeNQ3vdF6x2hlUybjLv7QQBwLRiazwbbFjMKxx7/
gy7FZp5siAiu26TXMh94sivd/FLl8ap9VQBQRmHJzaQ79qvtjShbRb3cVxOthOW24zNGOEZmpqwu
Rl5nSALd6RsMXHzZhtm/x5irmLMikKzypNtPlmG+GAAIbhaR+jcDUMTbubSrnchhoBiYac6RNuoP
jMaXjP1bmzW7quribVc1+ptXq3ZjTaq6lxZVKBbsBGSJVFpgMT9+x2GjH8qhdF9N8lHRmXFrbRce
OWHSz4MTAMQaNyXJNkcPmWngeoNzMRoiYfhEmgzFhfE5bljAeqOdnCq/rW8bgcmmb/SBK+sn8490
bvsHG1e6DBuavk2nz3mDWwPPISJvJxAQSI9LO88qtIzmB4kG5pYJH0JD26gutFNkM5lNe7WU1XiX
09CzZ/MvDegHBMlzmkQgq7TskuiCECKjkV/yboDpRej1xa29+UEfRccqkWbo3gKBfBg8lpvVFKXM
GCIL2BOYtpt2qLPngjXXM+K89hYLVgSIK0rPamow9iPu+Cxaa94meiX3M5aMbTT3DXvZskObzE/L
DoutQX8s84UaNHbVZ4v0kTlIra7caOzQQse24K/piX6LBBhrkYsm8FSOGp7WIhvnsy3nIgvTFu6V
V1km17EfX6wJL5U9AHqYp4JFB1LI5SRS4Xwz+PpaWEVlehv3CaJNqfvP82JDF7AWDnqPKJEVX9il
O/bAzhWQ0BpB39AiSrVbtKg0dKm18cbpSjVVu0NtocrfskX+Uxz/u+KYqpFq8l8Xx9dV2yf/Fb61
VZ7+UiP/9tKf80T7k2UzAMRWydTfcNZB9O81ske1a6xWFB2i0jqQpxD+qUpzPjGZEYzJPd00eBmv
+qlSMz/xRwU1NyE3vxXd/4D/hBPjzzUyFiQePqbPhNzwhG66K4X4DzWyuz7G27yTAPc8GGLCX8U8
S8fJC8ij9adtP5AmAn7ITTB5Y0KDeWYAX2MZTkcWGiPGqh0TkSLbVv+HvTPrjts4t/YvghcKhaFw
23NzZpNsibrBki0Jc2EozL/+PKDs7zhOTvzlPlkrjiObZBONRlXtd+9nU+bZnKyiEkAP6kGX9sZO
pPlWpiAkQa+5gOA78YD91D13LsFMtrtYtglzS3RKgSV3zAoLlaFAzytJw96FQGTf9YrOq+0lavcQ
T9IaHIsA0Zngm8WIJB4Q5QA/VDr2/U1fOao+OuAkW2iF1volMsIPkWfp/OQ0XXhFVuMHjxzkqUU0
arrQlR1ey1RMPyGpEW16EY7WKWgfY0fnFda3tlLk9gLzzShbABihW4F+ScpVhSYRuSWbPT3NpPV7
2Cs4Xjc19Bsm807cnmwhxSvCsPc1cCbqTSurP8khkW/LqKYnLav2ZKTNRpE4mXiInYbfnylBdKWW
i2/dNOm6UwwzQEc1W7RvoCq5AtplbJzygHzHUG5D2ZUt/5o7ieq2rDzv6xzzdfjOeQGeoNeDPQI/
jQY8HqtRwgSul5S5IHdN/NZuzs9UuaR8I7P53cPCA4vej7Z88F1S7JreuQeZW9kdU1FBnDWFhhCl
w1lWYU55HNtdZs7r9SSwSnVfOZV4Fbiv+ZOfb2hhx1TnxmkUXp1+fYdJGUxPvKXGfPZpoZnuRoYn
YjflpE122C7y9NkqHX6FioAknTpDwl+VKYpl6xU912XM1paeBCIo+42ZfRS7piBOj01XeqA2Vvv1
J2QpVx6KckFJG8blRxJx0tvYgw6vczFeusV4hxmPmbsF6AUfCxniGa8jYiBxf2tbi9J51S434Opd
5K4tudFzKAbRAWcj32mJHP4K2JrXlqw3UWfDUKSWkf8fdAN3A1N73tlQdhR2oERKgqOid++LIOig
ksSGm89yKIyJBoePXjACrWfSNMZ75vziIcHvNu6CcOINrmoYblAJYoOImdXMVTVZ2nSbhwg6+4Fb
lGWYj+VdVYfodqDE5NmCTSrZLUhed7r06UIYIJpApqzoVz0SpttQHmi+TZPLj9R4W2j7We+TOZwo
QlnfIiXJqZYelholDN+MZTI9wlwO9wx6Ka0bhnBfu6J+Jw4cXT9u4dQKuL65wcq9ftjXVfw98ofp
MnJ27LejE89PE56up3JxKhDTGWGHtbUWY1/Ihetgv8ttXShumB47wG2hff744yOBvpoeQSpw8Wa8
F0d8nPKcirR5X4K2PTVeDZPf733x6o5VdLWoNsAAZ7IEObqBR1+0AR9O+mbYHxGoIfnvjQORlZJf
x4blmJqJN7SxZ/4tUnrcYJbkQ25ymDAAKFzxOjjgmGd74QlCVkueg4TuAIjXIYWgK1O2S2e+QwVn
CRgI3inIAYFJ5BM+0DjYWS2HR+SvJdzZRR2cfK+1Ma5CUoXhS8Umu+AW/0LO7yunNh4Pi5n7ZA+I
iE8Yuh8vCIfqdCkdDgOX2UwIFlkf7tMZDqTkQHDJw5UoqnMLeUIUfB9Squ45z9HaMli0rzZ5tdfO
q3uuINywS82NDskN/997TjvHKSTxcoy6xHkNJPe8n+MEoNMla5cXQ0Gte5p6ONJy4Ree8pw7ygod
3igopOI1skkh38RVAHxO6rJIbsoIImZGo9Oxd5182Q4j71KRRu5Xkzo8mkU0c0+hSnODz/7C29qa
tTx1DPmETxoeaNPPwGQ9HHw7MmwSai7mQUwrpgvp/eMuHRlX+Xh1G/GQ4tF8LUviHyRo6jjaD+F6
5wCyqGbEhpZv7+Dk/xbnHG3SxOPu/kCOrvceaA+R3bpstE+cBe3m8HHPuw77Qjxx/M6ALNb7vw98
DJzpEF49ZB1+T3t97NFM3XRIKF4+4X4yPN9a06kdYv56P4azUdu6UeEVqyZv5M9HWmZEWu7qAHIs
iCPV9udMGcpJGwyJ7b5m0PXk+ny6KMsgKNKPXF5J69nHJ64clHsddTdhmW28Njl8PFmrKhE+1iXV
XEUKzeA6xvGcf/Lobkm3hbs+pcQAWthNOu9riM6xh5pbPoukd7b41b5RdRue27peF4PGXhdnrNlY
rLCQPIyLx4OsYP/QbxXzIUjbCW7i5NGZk/nE40fCBhcxgXBI0iBQaLKslvC21KbDVxXQzsUlScPi
ecmK75mdMsraYh2Kryyl7Qlcc8lbpG0+NXk/8azlM0mCm0dMtbFGx8u2HB/8b5Uur1Us2pswmnp7
3MxsfdmHyPbVcRUW3XUhghVWvKZzXIOU6tWT0IEd8dkdJMZUtP5GiO7Bs2V1axAIwCfGyVsaNB4m
PB19aegYtZyquTM2LVgtcHE7wN87bvpSlNZ46rr5bJK+hjgWErx5shO3ogKh+6Sb/lDXpjlYTBaf
YDJvshJMmuMyppn9orZYJyoc5WfknZKnKkKYdH0GF9JGc6vtmvmf7yzA4QxHZnzLbratK6c8CdGA
V07dGgCam8tDrp0hhC8IALwHJuBByISAFIzzAJaOXNhh9oGnnEJuy3YbE4yfuPxJeNtJd3lUUxfc
mCxkmaNb7JROFqydchRvrhiw63EUekyXXN0ETsTdKyCT+4lCZKJ2YK1VnRwEiKC/hT9j3wcUl8uN
sbzpa+FW2dsclG9uBkTnrmiM+9zk4O6szowKzHMbHtQghx+UKoS/Joohjxkxgi3cZPsG+tdOMcWB
7JWFJ3toBk7mHaAoVSNOuG5GFbE02b1qk2y+53r537JO6cPSjxHreGpTAzW+hSvVM8fMfgyi8Qu9
xFsvzYJfcVrNl8Sb9U7A/jnIPGDW3Xnts8Fkw/ZH+3tvKqffUD5fLVCc6ATG3Ks0WZ4x/YNBD/qS
SgYAGlE4EMAMU3cfN+a1CXuU5NZnZ0TbcVPdd0vEIwrGzhaIaL2P2Tfc9GUrbhzTWiQwKnPOw969
qyTWRy6aZlbXMDXxGZXSM6v2Fkwq8Bi+RUC6zJ+oUSQ8qm6sJRePLAIzWz7oEsiR/rkACPUcg7yR
WuqTY5n2qNYVQs7QESeaGk7ETnB9pbP1bjig77K6DZGwPDqIQSDi67cvOUPnu2ouujd0VOtuLmtO
9JYK+LqRveuv3UCr5C5yHNJ9k25wYXXVZ5qVOrZ3fTmk3N9O/uq0kaKiT1oPtt8AXcUjgVPUPfQB
6KKsykuUoiD4auXl58la54cCTBhjq9YcLAifQGUDKmHmpeuPNpUEW0/lZDnR33cL/kD4oUl3HrT3
rU5id++Qq9iK2l4Z8KA7Z6S+r1EL8GEHfHz6zI54z+66ZSeY2no353a+74hMv0YNTxSe/G25J6zK
uC91gpNtkLih9s0745Cd80ZAbXfIPmRCa9lnYc+DRLVcu86zL6DSCoFRsGjpFYeOTrIijQTavsjK
VXxezBB/4+EfH5KMVttFiRoBdgAeFVPb1JLhkdGx8xOLB1Ob+ieF1f5qkS+jEcWPHJ+ZrEh2IEQ4
gSTNPvDb6p626HSXIrReQV1RcU9ShYo5io+WpVsYXNr83yxAGXAK+22MJ8UtLsvKtW5SktQDIJW+
TMPfIAnHd3FTPjBbNZ9WyuQt8ti9n2sYhOwGXsreYfA+Gp/6eM4u3U3eNDP8Ob/ubZp2GYjfWI1Y
HOiUEP0OkvLnZtxnwmLnBFhJRo9RF47sZgmSbwjcVuo9otCjPdEgONYzj++ZkAAukHYhc5iRhPK2
TgHUdRMbyx5xnTCvkO9Ilqy6K8rVB/y29p0wQPbK28Zu+XPipgu+OK/sFHePE7Z7r2cPipTLbkuP
ho2IP7isTWlDq8qNLZbpMjsjHc8BrRRlQ5wJDz77sz+d+P+Fj0/+U0OP4DzPvArXF+NuD2/PP56d
BxuXbdskp9pHRmPlYyuI4Zp+rmDiIS2NfmFUodzzXLGKEpGpTH4Dfn+49O5A7ioZxvCKxsTmneQK
y7To2FVbKXu62F3YTaSxYQsQYZPdtOvRU4d20e4smCyslEE7QdxBp/j2c49MyHW69Mt6KNEzk4Ak
SomV4VaZntZl5Wuq8aLpxTDn3cDMY0P27y+H80/eJLGWK7m+4Bjj+qG7+h7/JCVQEdWk8xBYR5nA
Omf6s+jkRvXrzktPvHruw/AOROhgvWhn4Sw3lQkvaya59jKFPlcrlsSgtt5C0UNWuPwtF4u/Tsx3
Yoi97HClwwRkMwJXQvUa+zg9VTEHcmpo6yHexwDgTstc8tM9J+csyZSPhCtuxPLbv/9l/9n3Jzz8
m14Antu28TUz4PzzLzuEcWpJwtAQLwemNeE89QZicE7wvPVCj1+5LhkeTKb5CttvvjQdCkOTcAJP
q6m9lLr5m8sv/tXdaEuietINIHn/teDI8hpr6VntMRThp9r4EEUuVE2GV4Mww0Ww1kPr6ND4gDVV
nuuBUwEllgRcBP5i+NSmXk9OHEf+/aX6J7urwKC1lvY60glQm/5yW8A6KJicpNkpqsBD0WSGX+vT
srY/fHbnZWmAH4Zs2itN6tnfAG39u+rif/FeuQp6C1IXzU+8ir/MgalXEdXidPHJm2hn3ESaRoxd
H4rIeRB4g2POZFF9TGWaxBCuo0XjaTDRQ6w78arsXjzAQuDw9R9fFsyEksyrj/z3Ty5gTQUwVhU3
PmmLExIBkSneTynAZQ4udIPit+KA0JcLZwhriOv3f//TP55Nf6aXcDH48f76X06qwv2LkVDTEEOy
g0ZOby5QDDLip+SITKPKjDckmT2or3JU8jUPIuss1lOqdklHEZJraufR9WcMGxs77+Lk1K1CU93E
OvuBtZqjvl7L4z5e8H+V6L9TohFm+aT/30r003et1zHwV53+o1fj5xf+oUO7v4D7UXScq2D1jirU
7T90aPsXT3DUxafqQAbC2fr/dGjX+YU/8hE7MNeCJ/IwjPyhQ4e/8PhD2QanJNGUMFf8Bzo0NnCe
l3++H1WwOm4JWjkuzB4Gkv/4PC1KaZaytueTF+h83vUrHRxA6DpVj5glrSoITczMltryMHY+M0y2
1u3ZVZWwD0sD/GObFDZoy8Z0hbdL8G1bG/xoPTjF3+qhix7H1ZZVzsLeuSmnzA1AfHxbpWWIgYqZ
5By8dMp9pREW/dgzZyMnidYOkyxZCMA61RX9pr2ZV5MYS6C9D6xleYuclQzvojjv2w9nGfJq84Le
id/M/vCeiQ8b2ocjLf9wp1UfTjV7Na2V/UTDXKJPKWTd77hb49/G1eQ28TWfvbnK+h3JXfeOQAN+
OPHhjWNJokUSYC8b3tU8xyOtuB1WQ11aJd39sJrsxGq3i+wI513VYcJTqx0vC6gr2hL9Zfa32vWs
1bgHPjSEfF5HeLZWY59quczwNtit4xOz1+wokZzVDOistkBKGUPMq1gFCTGVT91qH+xWIyHJ6Oop
W82FEJzxGQ6r5ZCRSL3NVhtiPibkNllLu22rynsd0F++nwOfqTahbMhxmqMyFuvursfjaLy4exGQ
KDDlthEeSAdxsubogTUScq28TkXuHABmqCNST4aHkuDaPU9pUDzSBnhc4RXzvMFcAr9S2Z5udO9G
MmL9YSy8Nm4pLsHwVIaF3pnRJaoa209uv0arTeXIdVHo3wUq7xui0/Q4mMyjKgiWkFHd1itzpqgJ
ARGpp+KGJS26C+tMP3t2595Ds/iUjq6/Y89Kdabfz0TO4uhl7r0G/LdXnkabAEwlOnD6WXYh5G8/
kt8JdhEy7Dn2IX9mFAVDER63SW9XNNFVJXn4oYpOGRmYQ++X+Q/2mL+JKLQOlYtCjae4EBdu8ngF
JTZnCmFpUihoiRBQsJiDO+7O195zxd22hYFwC6Em2ZSq8QnJm88LAxrQvdBXE5LU+I0Ur9Ik3jbu
wReJXqTgpRLrM4tYfK6JNV28oq7vZ3bGIMgNB0wrmfetmAZ0ppZZwdBw33DbjpvJn51jPYM76nWS
7jLbhdhcQ5veY+Rjkz52aylQSlLy6LvlHIs3FRVTSopSjOSJPLG4fr/LxiRO1AX3D6aK7WxBCH1x
nNwbXzzDvtzdeOgN4iqwnGR728vSW7+1g2fUqCj5NLlLCXJVZAWppLBiZwQXe+bnD+kD4DHnUyjJ
hG8KoLn0OkSSyZErKsv7DBxHZ+exWrX5oloIhE6Ima4+thwzh5chTd0R43vae4yLYyuTwOjpQn3P
866l5GIZch2sHVrG2c412MfdYJyJJ1ufxvF7KdJ45fNSe7ojhllye9K4ZO8nzKVIEyKd+PUVZXTx
rsi0UvumlB2V3nOn3Pf+o+k7+Fn7zTUKe0D+fVfdpJ2WSD46yjvJ//hRfs5seI4a5E7fRa867/15
azeSGmGno9ycD5aY/ps/wUqcdvPfrNRsotbynP97pX6p+v9jZvz7l/6xVqtfPL5V4PuYJ1nFGdn+
sVTLX6SHg2/d4nP0XP/JHxNj7xc8kwKfIxBBqgL/1BgkHayYyvYwyvus2Gs65T9Yqcmt/GWlZlZM
CIXMEywf2n7sv+wcCb3muqWZGbJfQGVeCPJt3ALwDI+JbnDAa6xIWx1n6jlMJdtmJ9VUbfmw4Yci
UQQwZI+oH6Xyk2+S+QnDvH5BxY++kLFiKsius0ZUWrxT3a7bSEh43m1qDdWOVEo1bceJ3jmopxMk
o0QCVbxThYUHn88sLWPgX276pSkaCnLSGPgu/TSCsayfQAwYMjDWZY+qHYSze8gpAX1MRDY95eTi
yH9Pg7W3G0vetNFMmQxvgSZ1KxMnOQ8kJoGzzHhnoJvV285hwtaXUrIOKnkOJ0QnENrN8G6XvCjS
CFH3nZ8CraGFhi22JMaN3Ki6wbMd+MX8cyA4RdoH6eJ39AqlLOanlMqQYI9KWP5IecNPHvvpJ57d
TKDEkkbfFt+DCpOjU36qF+SqbcQr++TWHrWco51fwpzm4mhKk8exj/Rrbchyd4Rq5ltsMLG3c9F7
wP8mPLdZ+gsRbXHd8Phb8F09Q0edqRyvuZCZiKiisGmVmzZuNgVgSxZ6+2KlnqICnWNDhN0WO8oj
sPQxTagOAal1CqaD81SX9SPk3vDJI3eZ3GVu6J0M1+8wVE14x9O3OS5JsuptoXOYkoH5PPaa6gWx
Wz1bqP4PWY6FDRKIBySSwV0ZkdeOqpwRHf0PN0RT3TMsiuoxbxvEhIWVY+8HmbhxDasm8lPv7lL6
0c1psUrqRXoMjVKnza/jUjbvLSaBT+w0XQrflsbztzSSmG/CKtUezwcBEB674fNU8xgm2xe+OPCh
6exZOJ+FU8sO0wOFxqbUcKYG2IaiSnPEV4DwaksrT3hX1zKIidPa4OSmTFOrGTTdQinu7MzHNOqt
Owd1cGQUGpRMkJDuEGvZvnXnxGNNo7iy7i9girz8LpET4wRlCbkRre+/afap98lP4Ux+qGgY8FZJ
zf/Q12JAbYht1u/S24cON39ocs0qz1kfSh3ENFS7/EPB44i4ynkqUCBy2g+ZL6pgEd50H/pf8aEF
OrVBBfT4z1r9hFwYRLH1Qnmx2Tp5dB+U5XCbrvJigs4IwSO+gwaP9pj9FCKdn7IkYJ4A8+cqV3rS
TplIo2jaq5gZrbKmvQqcnYRsjTVtvKadQ9FEmFT3jG+bvUEbzVaRNC1q9NIgcwSUc+6hKzu72D/x
8bZoo0BmrdoWxZUsfVlvyWvWu3SVZP1VnLU6x6DTal7DabZT9FsM1P1u7qbp1sISeMYBSANFqC/V
ou66zETnbBBmG6pquhlTKM3BlBZ7t6NcgVrGI8Yv65u38KQpopZ09nKclMBbljqQjmoIGEx7X3AZ
gIGMxyOpLu8q2jV/1ff9Zpn76nFU9gXzOpvlduFtM0jusQsLYyjABStExQNSxZbdp761dW2+Z3Pw
YC9O9I5DcDxNY1O8aH9Qj9lQmS1YpoVziBmecI1LiiMRDUdqaI+uvzykjYKf5rL7TqigP8yC5hoS
RgbcEZlAEJFVjXK/vFcR5a9MkB6Xur3vxjza1k4ybCEQtscmIrWdEe+4b9tofPQN8PDUVL+GPG2P
8JvVPo3m6IAgyW4+8sy2EvBXl6pi/DgM1moWFrfQkfGWBPGXKnXMDiwTHoaA+YwDsmNTgJb4BMVx
PNll3L1lSIfcGKN1jNvpByTo4jgzBNp3LdLuIJzoC80kVgmFJSF0m7klmHzl2Ofer8b8JEvXu9X4
YA5hiJV0U8fMfes+d28U7ujtZFnBc0/F7zFdWJqIQ9Ol6Lkld4W/BADRG/hHSBxptldN2l1C00TX
sPH4yHplhDOTyhIsSs2vtOhUOdvnNP9cM944CLABmyh11KFkTH2scBO+12Nkfwrb2MJNhWmqojbu
QSv8D3MztqdSlupZ8g/ujT9Zj0bF1wCt1N6KkLki1AL/ga2awO87dbm48aYsvgvzUoWU8SI0Fl1K
sV7uSLBZjZ8uO5A288aDygi2RMgHCYqTw24Cz8Wq0ZeBm0PxqIMcmnZM4TKYLtBMvXXtatt84o7T
tHz1Y31ry/biR1n1PC2d/SCzXO8UkEu/L7gNXCKDk2O2k0jWoyHciQEICa1yQfZdGrf8zvgL/ZUZ
OIP/Lhoxk6MZ3eiAFXubzY23o0dWvFVJP1ySMMfkq/p4XxPWosPb+WKF/Y801fFnNAu8n7O2YZx4
b3SMWgzbDDkomQ+bgQghH6Umeotb9zjJ7Evk9zS6NN4RK3qHRYd8o0znzxR7hvSBVs4uCNqvTQk6
cpD2maRkzsHFqb/HGCtx1ljVzmHQcRqcXldbZ5ldKtgi8VQwINnnZsyftfAfdNzpO/Km/b7EMkrJ
An2nHaXF7Ug9riiXh3juon1dUm+bJa8wf9hKsb+gnJ2cmBwYGWEQ2XmEBpoNxAWGLl6zbmZomujc
FqwQq9w+0VH61cnzV8vxK8whjf0lcSjEq1IVfG9Fe+kH8QOi6wZED1MzK3jXDOh3sKJoVs/t4Cac
owVmLMmDQAJGjWGzcFK4GXUe8eys6/0ABHan4oGkxDSXZwoez6TgmPL64i0d55wSqwanEL3nB9Ga
kIDI2iFmZ8d2KOqbqpte3CUxlHwnelMMK9U2W74xaXa3neyrl0hxIEwpa4W9Wsp5V8zYoz2fHN2s
TXnA0FxuWkv9FhEIZcwdvduNJx+xKjKyUd4z7lnuK++30ikp6kMt3tc48G8xl1e3feN8D8qRQKbA
k5fDtceWXmPHM+NJ1SgldNa5+7QhCjjQbn1kxxJchDXHu6QYs4PN7vHR0UH01OLgbXnTCargCaG+
a6YpkOEIt6hQ8W5OJmfXikw8yDp7I1bsX6Ip6Y/1mHr9JqAO8tInINfoWtsE2KU9H4yyy5J+ZzXG
Jz23XDs8MOtmE7b/YxV0MYXx4a1TV5RbxKfGKYtNYtmP0WgeV7QcUE5yfIamvrr80hbwPhYzvY6m
f6pF99jRN8duDaneXwB+doy5MV0DsBv6mPQPH3NPFXi3PZl68DpoF73TmVJ3ftloZhPtxpkDiMDM
Yxdc5zr/b5Lu//vgx1Dj7w5+u6/5X6pi12MfX/j7sS/0f3FdBokeBL4/gnG/n/s+knZorBJJxQ1+
uoh/P/i53i+hizcOvkq4Qj04Ev6u0CLeumpVaH0JnW49Sf4n5z5H/kWhJbLH6RGzsoDcsZ411/Hf
n8Z7oW10F0WNdeviF3kGVF7uF7clP1Qs+T6oe7PDMudcZOEPR/zvy17w0AWlpdjV5NX4OnNuu5XG
KbfYpdQpT20aYhgT6y2GIcDFhDz2jBMucS1hsVJGE1GzjgMEJ1OfP42YsQjKrj2juYNAgu14GxmX
hEi5QmtdAIubxi2cl07THUjxYbBdZFw+uONgXomKs8cOSOzOfVt8sy1YbEq+0TPxQ9akACAhPM/h
zCYTEPSxGSnP2MisLy9ptvR0JyqozgEjdLwaZU6MiRa0rNDT3Qyf4FzSF7/PsgWEIlrloTM9Tw94
CD4Zcdt+aH0wNrgqwJQNE2ejTTA1kqOFrefTwnh7b9e0s9Ve493ZrToRN7/UNgx5SSL8nlDaLXXY
5S6b8CTECoNSngBPxjISHTp8Q1tumGqvtGg3DamTDTjeLcBoSjE0YKelozQ08KzgpsxIfkUVZ7re
pdR2cmL06UlDzkcQ5mSTF8tL47Hyj3Ny5djqvI2l558nNxjetaicTUI+b2fPsooeiOA79r6okrRF
bgflbd8OOpLLC5AFeuL3KWA16zdc3AL9i4m4tSBamoxtuSYeubW9CoMUqQlQdB2ZiUsjtXoIY0xL
+1E1CFdUszfjsUTgP0H3mY4U3bAZSxnvPU6l7i5W0NmsIqlVJh1NXEYOlMWm3l2Qt2SSBVuxvZUv
nGK7IeQBm/Vu/mDRZVlbzM4nosjHquaY0JIfLFIrwXFeKRgynMIGE4R4GeDy6Jsg0p3fvldO5F1a
AjVpzmJdpRaOpJaNajY+R11ewnajLS9+lMFCd+AhjFDalqPL/nndM3Lk899Guzf2izXMvoox+mRF
GWJFRPqHREYMgEMFSf/Ks6f7MWVy3xwaE2l4y4UtPmG2m55HOkdKQu0aD5OTiqza5lY87VJqK6Kt
BTBh9YAO1jXJPfDQzhKw/+v8cgIiR9nERocN55S4WXYV+Z2LLhKLJGfgAZ3LcApdI0/n5YOVzY7Y
EmelQmkY/eFQ4CujBqdJKg1FTWsmHyI5Vbqw4CPh/9qOqp9fWrQEMOC0kn3K0wIYFtFa+aVJXKBs
cRk/NhQlP/pNqtj61vXWTwQcKl6AfQ+obQU7N4ieZG5O6azrJ9+0+gqwlMNZ0Ij1QDPjICaVIEBW
ZFl0ThQuOlUH1rjxTBcQgulo4MUu2TGMxO3HW75QBJN5spvxO66wb9t07JUC/dSoOj4GUGITMXiP
YTbEr1FRT7c1h0pq5a14+Tlk/e/M8u+UUA8N8t8tiPQ1x6h+/zCvlD+/6A8NFD3T9fkjkrUf40pU
yP8VQf0gWJlLKJpqJfL8rwpK2zpLJ3e1LX3fEfaf5pVEarBGkFPx4fR8RGr+AxUUXPlfVFASk4EM
Ar4lr4JP0V/mlaToQOYzsDgpNWssokOltu1qG1303NylI1xQHKWzVnhL+9Vmavfgat3VeorNoH+Q
FdiGsMWY6gWRiPYt1J+nZDWutquFtdIYUjcCX2sTda8Rjka1nfvmqy3hPadUlrXxG9ZCfXU6H9G0
HPGsD0iT3zyKGG+rJA7vXBKOX7XdrEYbx3hfZe3zL+FGIKngV9Z3KogACNOFMH0PA/pvspvUuOND
UgX7lkpiFU/ZLazPGoLMgJQ4SpcMMOBkSgH7ziH27SSV9Wq5HpNSjgDDvlYkCAK0iY0p08ZF7JHT
g2gnzph5or4UeaGcW9MNistSQUQU0xjfZbXot6DHWLQZQlf7CGaOdxANBQORyX91y0XfxiOSracW
d+eRVvkMYlTvPRG5OwuJlvSGHK+Ow0JC9kXEZ9eQDSD0WT9F4WIHxw95AOKt9d4ZsHA9I7I3HgrJ
Lk8xGVE+MTTBtTZIWOxBJvwXC1xBSqayCOtZFK4JHyj6nfNIJyBuFQuV/bVtFNT+2l1DNMVYv7ux
yzZ79ZNPo1yvMlijeEM6QLyGORYQkk5oFrTerDZqqsuICsjCRhteMxIGCajfBp0hkSFhZJR75SFv
bFQS4myy2gbL+6j76lYAA4G/sv5twTyLCS85YhjVkINLIhHl6iWXc45RdfXGQyRCWfW6kjCRq3CX
eb2PrjW46wgsiTGkfUSfFBAE9PqOcI7oLUaIrVrFwnDNOzgwM1fH55Ae6URjXZu6EP//6iCvEbvN
0YV0CJdgMsttqNk1bOaSDBIlM7jLMhbBNbvERQFbhXOkyxdSAZaaeQGjQI7eM5Dm6pZDRPYIXn9E
pJEar503E+PeKWxfxBsDBgQP0bAmEUwX2fG5qwf8XXGVdd8QP61tikjDQsGhmRxORVXBscgyPGfU
dw40XCNY8Q9cpfn2VBbz92rpcJpjlOMKtuPEnywNhqiPrMQ0Jbwti+mgyNLXtXUtfN1Ashz7CZKh
f/fxE6lIx5w3WMRPMI5yb5Jl5fpmI7mtsc1xKbKRJ/Dhjg5c2rYV7ld7XmMALvTrW99u6/cGgMqw
abypPcVp5rnPH0mOXLLanjEitWaPkkESpnHWvFcsC36tueQsh5vK/0SF+2xdP14lcOk+PhUzZbBU
kFFAsvFqn7vMwtHxELa0YW8gWhOdMP7I+wwWu1leUPaq/FAV61vKHnW9Jtlsm4duDqtbnHgIU5C1
DDDu1UL4M3ZEP1oKZmBNCYUlgZNgLHhC0b3dntzSFvNhNV/+WJY1ioRKuN5TdPRWm9izVHms+mGs
bgNRTj3d5/mEpy/vxl0XOssJgWu82GsebshmIm3caZIReY/GWyS6pHLBpVG7U/22qj2FtOVYIDqN
w7anL1F9tzMn5gffDqLbLJzDK2+mn+xWs8klS2Y2BlAo6vfO7U10QDqeXoAuy2M2qvKAIgP1eIhX
b3RnfsssBl6bgkXnWgBXflG+VW4DB4WI/M3Y8stwAe5827X47cociNlSeUi03dgW1NmGmrZpLtlA
6xXNYadRhMFvTZ0R/xK6UmsZ4Ygq61CheI7BIpwZSnB95ymJri14uTufIC/sJKccH0fhuXt3gBeI
j16OG6ehLG5Ttm59hvYtj+BWE7CprBhIUrW+wPYAlg55IANbkifOW1gtwcEa2/m7G5TyJmq79JQN
SnwrYDBfVdxPwcHmEXjXtH76XTbT+Np73gyiSJf7OSuiLXvdN7yE7ZWopaG+Je+QaEOCU7PA/e4Q
vrsTk6ZoNZw0FbgMYTQ8CuLiMaMQORbmFvcBjvshC2aXQGck3+c8M7cdlZMoVpgFz/3S5veQpz2a
lkeCzREZbH+bRktw58UNZ6e2/A6UL0GGU6hOKGMNGmI3qYditC6EMgB5cFTlvJOrwYi7Ap9e87y4
komdHR67wZ8OC9kDMLZ5fT9yANnkVh896YG8NK0fqFsW0xah9WcZj9QbdaFZ4uPQp/KuzrXtvEW1
rK70NLcvxeg+Jd7QYC1ejZSxAUUHkfBFB4RcCrRZ9dgg9GHlKeo9+QL7c+yM060bqdcldvxPPaeB
YzV5SOneqKu1qoad52lop3DPCPU01fRx/Q93Z7bcprJG4VdJ5V4uxMypyq46tuRZnhMnuaGIrABi
nkFPfz6Q5W1kx8ne6MJ1dOdIabqbHv5prVXE4lWWEUVSg9hBaQW0OQCzlX/QmEkuXGdOFE1r6Hjg
bYURBeKkFHB7mYM5gHkqFCZUPFTfzbgO/IOxXCjEuoKiCI6bxEfBZTSWUV6XkggaViG/E0NP/+aK
OPZchSicFku5AGE1ik9KVWJVgxz8XnO9n0FfUlwQ6fxepXoyi7MVVK3jqo5V+KPM/Jxo1HJSoqlx
2xgQtjT1cnztjdX8ZynX6ffGsKPEqnPBL69d+IkpsYTl4MT2vRBYVPpVbFbmteOMzYmnEpmkcq0+
L3OKkHwM/1JT09Mik0aXqFipUzBYdgNqIFj4ObD3pI3Om0ojXoNPKL/prmpO7ACZJyM2lMu6qCB4
8EKHGCnZ8fgCYg1vBsxNDCdU1oyuZS+C+hse2CnTpaE+BrtznAXhd7fIiQJG8WeziIVTT0i/5FyJ
U6r7lQnKu9/Gon2yrJbZ+ahR5K+w7aMVoHkoUY6hKZ+aI8c5Q2wcn1CPilmhpcd6URG80GCLdgSy
M4CB4lo+r5wcwQ9NR97LkSUfiVGxyLn8RuBuWSrwN54HlR6hezu+N5eytm/7KiFTMZLRZMi9CeUw
/mQcl6wDkXCnUyNbb0uGuWqzSCrlH1zhhwSPBEBAYixd67asXulGmt9GKTLN+ymhVMbjUIq0qkFk
5OUMIkllPy7sz6qQEHkgbwKsoAbIEKJHbuRBcAtnB2QZS8yPQxE9iUkt+ktCs0I92i9yktP7TeY4
V0ENHyDlMM2dAOHkWQPG+Z6iGQ4oIqQzTqAS+BFiL5M8MK6lXICNJSwc/hTl+IyUQXLjKIFfHhAp
rqaUu5A0d9BUPy3kZQFviCpMUlM9IacGisWzm89ghk0VPrrii1M4X5dmACW7MtYxKFD1+lySVtjX
spqYUpJJp2oc1Me1YAPiNBz9UC1U3kOOQw+SMBBgCNK1QgWQ5DkKOyHIqViq0Z+japDb0XcMAk1a
4BMElvUvscHAy7hOb0mUaIfQmpjLKdchcWiw6hME+DyUrtBoqtMxFfmwTSCr51Bs2NjZGfoKsgRG
vinO6lSODinOrsnccZ6SVa0d/UDjvHlYJoX6k7huNXU9VVkdOwaMLjHEJcdGaphTvzWtyDWgXVQ2
CRJcaA0foPOkUlCQxNNlWMJ+WOjFrIoRezXB/LScgeXEoyT5jBr58gJIQCx95n7zZnnoS+T7KAlE
tTeHYDTzFGLcQW2rNz5q8OCbRka6D/8cZkFYyT88aHHtQ0MNcb1LAVsQ+RQP4Hx9CzlofY6KUjYl
RG3UxMh18zrDDGgZU2JO3kayv2pBGUbA4KjlMGXjG+yW0c3KrKClCmznMPGK5lzJFOUCvYyEIvsk
GUEzpRSniJvnZzU1y0d66NZXYyXP7pwqOE2q5CzWV/UkMcTkMsiibK5yWh6VeZKe4vWbR6mtf8FQ
qw61LJ2UWipfL0vYtaHo8DxKJOsAWqPMWVXjQ9dYrRoCd2CbDyI/RMI+ENXVTSEJ8Y/aC3w0CwwR
eqYYsOu+FBZMiETGxSvSUTBvKMuACalZXaLnm7pT2IGUAk2C+C4umtDToN0qZFM8ovxUGp2YtXqU
UMxyg6rDfQzQ0zkL/UQzz6VQsPLKiGc1MZp9V2ctnFAgb/Kelw16f97S0W6MDmfogjg00opyytC8
ilowYksnmJLqVOLqftVCFWUp1W3tyhbj5Irb7yRfwxqfefKvoGJax/d5Ia8BPy0yS7pOBBh01zYK
xMNYMtVMiCgsb10ncHiYiQXBLPvk7Qe1uIEXD6LymBuByDhscnz/LB6tpxjzCWoix74Dahg/NQim
BH+x1XgNLca45bOAvwx7dMWBu47tzOv/2AskBQCUROGHsAiuIhhys08fXz4dag7doDgaSQaoOLaw
P/GoASjc1OjDLGPxTq0qfQLpdIMp4afHUU1t7b6aa9iDowrRlnUx/C8fPqZae2vsZAxFARYQoBoU
bm+NvaK2gmBuGh1n45jWAajDK6B5CYwFywwPSh63cPRSbiLkBVvEjIDEOj5AaGv+sQ1RxN3b76Id
bf9dSIpOmkGCz2QsQ+rXfxe2UVHdYuPMaCkE2JVE+EFxgZGvGlgzjHT8O0iHQlpj64EtCYoikvEQ
IFjZFtciy9VQJ5dFx2GQGueU7cTfMm5jyxvlACbEqJhTDS7LF3apF9JJmlLz0hxQ2e0Es6WyBEnd
oazUJJTTyyBtWURGKvD1VBwbX0oHeHnpUb6wL6/CVkwoULMHAcCrQRRHzle3otpSiyQ1ODe3KPAt
4qViRUpZ5bdUACnZ4SpH2SQ7QAVEkr+vcCJJ0uk1XrptQgPhSnYLdeaauAs0CRS732QPre73T31V
hreSYePG5UnG7wFvxJSUyXUN+y4luu2FKeBVj0fm9Yoy5QwKWrzFI92GSaThh+mlDP+AepSCBq/J
RuvwV7T1ER1Gvnvp/zfhzceBTKzcmnYFnNfFIm1uFkC782wT/Gu/7fb4XfTvfvR2Qx/+LIMoCSIr
vJdB7DrV9fitNlBad/PiYfHpo6RADCQaRqse3X2ImPqw3jx+PdLVPcBhBFVldf39GlXybJJ+NQ1v
j3A9n2//5q0RrCfo5OHTR45xgYNj0CzIiPiJnG6cyq/PgrHHY1ROK2Tvus/zNf/WYnh7hP94FuZR
EebtarTdKOzx0bfs8X8yB1stPFsJxp4iSGDuOBu7D2/6+UowYGDtZAmJm3Sf9QPf0UogNqVy5f3J
LFjQR4UTF4Jxd54zzqf9QPqbe5kLAjLZ12ZBU/Y4POGIBQjXfbjTeOA7mgXymW3aYdgsQDKGoL3G
nliPkg32fC2MxwDDWp0DCsTf2/gxW4evAvQcgDiy49X1+MkI9cYvgn5DTwHL5b0NH8ZaiTN80OsX
gRKgQ9qWbLw6fL2tEUGwgqK2p03yvjYBebw2tzZoFuCVpgYGaKMqvD4LYBkpoWnVPd7rLCi6PPhA
1PZk1jnQELJ57YcCnpdbgSojoUugUunz3nYEnDji+pRee0pP1/U/MZOMPSDgmkZief2ut8yk8Xi8
95QhfmcXAguU42vQVpC0PTLqKqlIGNjbDy+5twjGxh40LcTeNxfGe1sElLMNXgOI8hiQz7cu9KuT
ICggsOAKUN+djUxZnjTYU2ALtCEacBbrg+CFTaBiEyhSC/vYTM+fXgp/YD49uV4Hjus/dE6Xu8he
881+9YONKf7y+0dHo/UmxGc4t+6HbdHK+tl/+2R/9czHzvh79uXGGHz+3x8H+PLRr3Zq84/H7iK1
0jkw2M4RfezmhRXguP3Xt35YgfXcB6CAhZX3d08+fez189kZ8JuGM2+r3ZbnYXC7qbuK+qS3iBGw
Koc37FlhZmWbljqn0FA4ooa2fGD57s8o3So5Wp+ng9smT55aD9Gml22v14fU8JbDcDHP3XmBZ7Nu
rGscBofN369WYj3dEG+tjsnCtyorXWxaalvWoUnZ/D2g5Udv7EP08wOR8SL40a/0Iky4g1V4yKy7
D/3lvbaYh0770SKiPK3fMhcFVujQlo+ZcdfdtNMtb6mjhB7a8MmD5fQW4KPvOLhdSIbDyO3vyHWY
ZnDT4YO7JS9DZEbHHBvcclT1X55s6Ni6Q5s9e3k2qWNxB/vljJ4Vc6/ZdLFbF60dvvmHf78Vz6PC
zV5MM0QwO7heZjCG9U4PRAl3cb3MLOimrPBhM/p2OkQQ7Dt4hTMry6y5U2SLPO+tafAM8i6mxJ07
rm3143kw62CwDl19M5e7INsCkIhY6TvYMLAJkmuHOj3unU1U9wk7aj0q0u2md9LxX0tU/Zqx4Y9u
x4vFj9Tasp5EEb6s4W/yYlFa/Xvr0agfukRafdNjK4gzgBe9jUn7rbO/i/Z/rZ86eMKrD7NF7c57
1xiB4DYGtouef6N2ZdNSd6SsY8yDm/6tEMTQieke8BI8hvBaS2Q3tP+XaNlvWummBZq+HVw8l56P
RdL3amAANHZwyF6mC3Lz/T53geKhU3H1Gya1gS/yxokeFh9Oshd3G0QvO3iRt79llxnY//UDXi7E
DYpxYPN3zP4iyxa9k0taJ0aHvtm7Rd33KiU6rWyW0L83rz7nlrNppd08jwHKod39skhhKMt7LXMV
7+AgfAt4M/D93VvcOyDf+1uTRGsbuB46I/eLLP/waufJ4e3AGb53s3kUZm7vWHlMPQzuewNBW2hv
JqFbJ3Ax/vZCfi3S9JSffBl/2mSgX/tv/eBa+4u5v7DSv/4HAAD//w==</cx:binary>
              </cx:geoCache>
            </cx:geography>
          </cx:layoutPr>
          <cx:valueColors>
            <cx:minColor>
              <a:schemeClr val="accent5">
                <a:lumMod val="20000"/>
                <a:lumOff val="80000"/>
              </a:schemeClr>
            </cx:minColor>
            <cx:midColor>
              <a:schemeClr val="accent5">
                <a:lumMod val="75000"/>
              </a:schemeClr>
            </cx:midColor>
            <cx:maxColor>
              <a:schemeClr val="accent5">
                <a:lumMod val="50000"/>
              </a:schemeClr>
            </cx:maxColor>
          </cx:valueColors>
          <cx:valueColorPositions count="3"/>
        </cx:series>
      </cx:plotAreaRegion>
    </cx:plotArea>
    <cx:legend pos="r" align="ctr" overlay="1">
      <cx:txPr>
        <a:bodyPr spcFirstLastPara="1" vertOverflow="ellipsis" horzOverflow="overflow" wrap="square" lIns="0" tIns="0" rIns="0" bIns="0" anchor="ctr" anchorCtr="1"/>
        <a:lstStyle/>
        <a:p>
          <a:pPr algn="ctr" rtl="0">
            <a:defRPr>
              <a:solidFill>
                <a:schemeClr val="bg2">
                  <a:lumMod val="50000"/>
                </a:schemeClr>
              </a:solidFill>
            </a:defRPr>
          </a:pPr>
          <a:endParaRPr lang="en-US" sz="900" b="0" i="0" u="none" strike="noStrike" baseline="0">
            <a:solidFill>
              <a:schemeClr val="bg2">
                <a:lumMod val="50000"/>
              </a:scheme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microsoft.com/office/2014/relationships/chartEx" Target="../charts/chartEx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8.png"/><Relationship Id="rId18" Type="http://schemas.openxmlformats.org/officeDocument/2006/relationships/image" Target="../media/image13.svg"/><Relationship Id="rId3" Type="http://schemas.openxmlformats.org/officeDocument/2006/relationships/chart" Target="../charts/chart12.xml"/><Relationship Id="rId21" Type="http://schemas.openxmlformats.org/officeDocument/2006/relationships/image" Target="../media/image14.png"/><Relationship Id="rId7" Type="http://schemas.openxmlformats.org/officeDocument/2006/relationships/image" Target="../media/image2.png"/><Relationship Id="rId12" Type="http://schemas.openxmlformats.org/officeDocument/2006/relationships/image" Target="../media/image7.svg"/><Relationship Id="rId17" Type="http://schemas.openxmlformats.org/officeDocument/2006/relationships/image" Target="../media/image12.png"/><Relationship Id="rId2" Type="http://schemas.openxmlformats.org/officeDocument/2006/relationships/chart" Target="../charts/chart11.xml"/><Relationship Id="rId16" Type="http://schemas.openxmlformats.org/officeDocument/2006/relationships/image" Target="../media/image11.svg"/><Relationship Id="rId20" Type="http://schemas.openxmlformats.org/officeDocument/2006/relationships/chart" Target="../charts/chart16.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image" Target="../media/image6.png"/><Relationship Id="rId5" Type="http://schemas.openxmlformats.org/officeDocument/2006/relationships/chart" Target="../charts/chart14.xml"/><Relationship Id="rId15" Type="http://schemas.openxmlformats.org/officeDocument/2006/relationships/image" Target="../media/image10.png"/><Relationship Id="rId10" Type="http://schemas.openxmlformats.org/officeDocument/2006/relationships/image" Target="../media/image5.svg"/><Relationship Id="rId19" Type="http://schemas.microsoft.com/office/2014/relationships/chartEx" Target="../charts/chartEx2.xml"/><Relationship Id="rId4" Type="http://schemas.openxmlformats.org/officeDocument/2006/relationships/chart" Target="../charts/chart13.xml"/><Relationship Id="rId9" Type="http://schemas.openxmlformats.org/officeDocument/2006/relationships/image" Target="../media/image4.png"/><Relationship Id="rId14" Type="http://schemas.openxmlformats.org/officeDocument/2006/relationships/image" Target="../media/image9.svg"/><Relationship Id="rId22" Type="http://schemas.openxmlformats.org/officeDocument/2006/relationships/image" Target="../media/image15.svg"/></Relationships>
</file>

<file path=xl/drawings/drawing1.xml><?xml version="1.0" encoding="utf-8"?>
<xdr:wsDr xmlns:xdr="http://schemas.openxmlformats.org/drawingml/2006/spreadsheetDrawing" xmlns:a="http://schemas.openxmlformats.org/drawingml/2006/main">
  <xdr:twoCellAnchor>
    <xdr:from>
      <xdr:col>2</xdr:col>
      <xdr:colOff>600363</xdr:colOff>
      <xdr:row>2</xdr:row>
      <xdr:rowOff>124497</xdr:rowOff>
    </xdr:from>
    <xdr:to>
      <xdr:col>11</xdr:col>
      <xdr:colOff>67348</xdr:colOff>
      <xdr:row>19</xdr:row>
      <xdr:rowOff>125074</xdr:rowOff>
    </xdr:to>
    <xdr:graphicFrame macro="">
      <xdr:nvGraphicFramePr>
        <xdr:cNvPr id="2" name="Chart 1">
          <a:extLst>
            <a:ext uri="{FF2B5EF4-FFF2-40B4-BE49-F238E27FC236}">
              <a16:creationId xmlns:a16="http://schemas.microsoft.com/office/drawing/2014/main" id="{435CFA73-111E-4498-BF3C-B6FDFFDB3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600363</xdr:colOff>
      <xdr:row>2</xdr:row>
      <xdr:rowOff>124498</xdr:rowOff>
    </xdr:from>
    <xdr:to>
      <xdr:col>11</xdr:col>
      <xdr:colOff>67348</xdr:colOff>
      <xdr:row>17</xdr:row>
      <xdr:rowOff>9622</xdr:rowOff>
    </xdr:to>
    <xdr:graphicFrame macro="">
      <xdr:nvGraphicFramePr>
        <xdr:cNvPr id="3" name="Chart 2">
          <a:extLst>
            <a:ext uri="{FF2B5EF4-FFF2-40B4-BE49-F238E27FC236}">
              <a16:creationId xmlns:a16="http://schemas.microsoft.com/office/drawing/2014/main" id="{B0C42290-3798-712D-0AF7-EF1F125D04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578800</xdr:colOff>
      <xdr:row>2</xdr:row>
      <xdr:rowOff>66270</xdr:rowOff>
    </xdr:from>
    <xdr:to>
      <xdr:col>10</xdr:col>
      <xdr:colOff>343046</xdr:colOff>
      <xdr:row>14</xdr:row>
      <xdr:rowOff>0</xdr:rowOff>
    </xdr:to>
    <xdr:graphicFrame macro="">
      <xdr:nvGraphicFramePr>
        <xdr:cNvPr id="2" name="Chart 1">
          <a:extLst>
            <a:ext uri="{FF2B5EF4-FFF2-40B4-BE49-F238E27FC236}">
              <a16:creationId xmlns:a16="http://schemas.microsoft.com/office/drawing/2014/main" id="{D05B0004-EC03-AC10-08D8-412D78E897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412751</xdr:colOff>
      <xdr:row>2</xdr:row>
      <xdr:rowOff>47528</xdr:rowOff>
    </xdr:from>
    <xdr:to>
      <xdr:col>11</xdr:col>
      <xdr:colOff>135660</xdr:colOff>
      <xdr:row>17</xdr:row>
      <xdr:rowOff>48682</xdr:rowOff>
    </xdr:to>
    <xdr:graphicFrame macro="">
      <xdr:nvGraphicFramePr>
        <xdr:cNvPr id="4" name="Chart 3">
          <a:extLst>
            <a:ext uri="{FF2B5EF4-FFF2-40B4-BE49-F238E27FC236}">
              <a16:creationId xmlns:a16="http://schemas.microsoft.com/office/drawing/2014/main" id="{6417F1B2-CE08-32F2-DCFB-4375DC7FFA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216648</xdr:colOff>
      <xdr:row>4</xdr:row>
      <xdr:rowOff>171824</xdr:rowOff>
    </xdr:from>
    <xdr:to>
      <xdr:col>13</xdr:col>
      <xdr:colOff>246530</xdr:colOff>
      <xdr:row>19</xdr:row>
      <xdr:rowOff>134471</xdr:rowOff>
    </xdr:to>
    <xdr:graphicFrame macro="">
      <xdr:nvGraphicFramePr>
        <xdr:cNvPr id="4" name="Chart 3">
          <a:extLst>
            <a:ext uri="{FF2B5EF4-FFF2-40B4-BE49-F238E27FC236}">
              <a16:creationId xmlns:a16="http://schemas.microsoft.com/office/drawing/2014/main" id="{F45CC553-B5BF-4DEB-8E47-E5A161350A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304799</xdr:colOff>
      <xdr:row>3</xdr:row>
      <xdr:rowOff>37715</xdr:rowOff>
    </xdr:from>
    <xdr:to>
      <xdr:col>13</xdr:col>
      <xdr:colOff>583431</xdr:colOff>
      <xdr:row>18</xdr:row>
      <xdr:rowOff>155093</xdr:rowOff>
    </xdr:to>
    <xdr:graphicFrame macro="">
      <xdr:nvGraphicFramePr>
        <xdr:cNvPr id="3" name="Chart 2">
          <a:extLst>
            <a:ext uri="{FF2B5EF4-FFF2-40B4-BE49-F238E27FC236}">
              <a16:creationId xmlns:a16="http://schemas.microsoft.com/office/drawing/2014/main" id="{3A3105A7-EE11-4C59-B68E-132FCF0073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500156</xdr:colOff>
      <xdr:row>3</xdr:row>
      <xdr:rowOff>52295</xdr:rowOff>
    </xdr:from>
    <xdr:to>
      <xdr:col>11</xdr:col>
      <xdr:colOff>44824</xdr:colOff>
      <xdr:row>18</xdr:row>
      <xdr:rowOff>139700</xdr:rowOff>
    </xdr:to>
    <xdr:graphicFrame macro="">
      <xdr:nvGraphicFramePr>
        <xdr:cNvPr id="2" name="Chart 1">
          <a:extLst>
            <a:ext uri="{FF2B5EF4-FFF2-40B4-BE49-F238E27FC236}">
              <a16:creationId xmlns:a16="http://schemas.microsoft.com/office/drawing/2014/main" id="{E5A6468A-2E2C-4C22-AE2F-4E36C6CFDD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63500</xdr:colOff>
      <xdr:row>2</xdr:row>
      <xdr:rowOff>95251</xdr:rowOff>
    </xdr:from>
    <xdr:to>
      <xdr:col>16</xdr:col>
      <xdr:colOff>359833</xdr:colOff>
      <xdr:row>18</xdr:row>
      <xdr:rowOff>0</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97C131D6-4245-BAE5-B61A-CC5961C6D63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76750" y="463551"/>
              <a:ext cx="7001933" cy="2851149"/>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fLocksWithSheet="0"/>
  </xdr:twoCellAnchor>
</xdr:wsDr>
</file>

<file path=xl/drawings/drawing9.xml><?xml version="1.0" encoding="utf-8"?>
<xdr:wsDr xmlns:xdr="http://schemas.openxmlformats.org/drawingml/2006/spreadsheetDrawing" xmlns:a="http://schemas.openxmlformats.org/drawingml/2006/main">
  <xdr:twoCellAnchor>
    <xdr:from>
      <xdr:col>2</xdr:col>
      <xdr:colOff>253999</xdr:colOff>
      <xdr:row>5</xdr:row>
      <xdr:rowOff>73025</xdr:rowOff>
    </xdr:from>
    <xdr:to>
      <xdr:col>10</xdr:col>
      <xdr:colOff>63499</xdr:colOff>
      <xdr:row>22</xdr:row>
      <xdr:rowOff>137582</xdr:rowOff>
    </xdr:to>
    <xdr:graphicFrame macro="">
      <xdr:nvGraphicFramePr>
        <xdr:cNvPr id="3" name="Chart 2">
          <a:extLst>
            <a:ext uri="{FF2B5EF4-FFF2-40B4-BE49-F238E27FC236}">
              <a16:creationId xmlns:a16="http://schemas.microsoft.com/office/drawing/2014/main" id="{9EA260E8-335E-4157-B84D-A142F80DF3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253999</xdr:colOff>
      <xdr:row>5</xdr:row>
      <xdr:rowOff>73025</xdr:rowOff>
    </xdr:from>
    <xdr:to>
      <xdr:col>10</xdr:col>
      <xdr:colOff>63499</xdr:colOff>
      <xdr:row>22</xdr:row>
      <xdr:rowOff>137582</xdr:rowOff>
    </xdr:to>
    <xdr:graphicFrame macro="">
      <xdr:nvGraphicFramePr>
        <xdr:cNvPr id="2" name="Chart 1">
          <a:extLst>
            <a:ext uri="{FF2B5EF4-FFF2-40B4-BE49-F238E27FC236}">
              <a16:creationId xmlns:a16="http://schemas.microsoft.com/office/drawing/2014/main" id="{1CE04EE5-1AB7-4B3B-9DF4-C19F4A9D2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14</xdr:col>
      <xdr:colOff>150445</xdr:colOff>
      <xdr:row>0</xdr:row>
      <xdr:rowOff>79130</xdr:rowOff>
    </xdr:from>
    <xdr:to>
      <xdr:col>26</xdr:col>
      <xdr:colOff>135327</xdr:colOff>
      <xdr:row>18</xdr:row>
      <xdr:rowOff>114508</xdr:rowOff>
    </xdr:to>
    <xdr:sp macro="" textlink="">
      <xdr:nvSpPr>
        <xdr:cNvPr id="2" name="Rectangle: Rounded Corners 1">
          <a:extLst>
            <a:ext uri="{FF2B5EF4-FFF2-40B4-BE49-F238E27FC236}">
              <a16:creationId xmlns:a16="http://schemas.microsoft.com/office/drawing/2014/main" id="{078D6563-D638-3547-380E-E8530D198FCF}"/>
            </a:ext>
          </a:extLst>
        </xdr:cNvPr>
        <xdr:cNvSpPr/>
      </xdr:nvSpPr>
      <xdr:spPr>
        <a:xfrm>
          <a:off x="8748970" y="79130"/>
          <a:ext cx="7355046" cy="340816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tx1"/>
              </a:solidFill>
              <a:latin typeface="Arial" panose="020B0604020202020204" pitchFamily="34" charset="0"/>
              <a:cs typeface="Arial" panose="020B0604020202020204" pitchFamily="34" charset="0"/>
            </a:rPr>
            <a:t>	</a:t>
          </a:r>
          <a:r>
            <a:rPr lang="en-US" sz="1200" baseline="0">
              <a:solidFill>
                <a:schemeClr val="tx1"/>
              </a:solidFill>
              <a:latin typeface="Arial" panose="020B0604020202020204" pitchFamily="34" charset="0"/>
              <a:cs typeface="Arial" panose="020B0604020202020204" pitchFamily="34" charset="0"/>
            </a:rPr>
            <a:t>          	  </a:t>
          </a:r>
          <a:r>
            <a:rPr lang="en-US" sz="1200" b="1">
              <a:solidFill>
                <a:schemeClr val="tx1"/>
              </a:solidFill>
              <a:latin typeface="Arial" panose="020B0604020202020204" pitchFamily="34" charset="0"/>
              <a:cs typeface="Arial" panose="020B0604020202020204" pitchFamily="34" charset="0"/>
            </a:rPr>
            <a:t>PROJECT SPLIT</a:t>
          </a:r>
        </a:p>
        <a:p>
          <a:pPr algn="l"/>
          <a:endParaRPr lang="en-US" sz="1200" b="1">
            <a:solidFill>
              <a:schemeClr val="tx1"/>
            </a:solidFill>
            <a:latin typeface="Arial" panose="020B0604020202020204" pitchFamily="34" charset="0"/>
            <a:cs typeface="Arial" panose="020B0604020202020204" pitchFamily="34" charset="0"/>
          </a:endParaRPr>
        </a:p>
        <a:p>
          <a:pPr algn="l"/>
          <a:r>
            <a:rPr lang="en-US" sz="1200" b="1">
              <a:solidFill>
                <a:schemeClr val="tx1"/>
              </a:solidFill>
              <a:latin typeface="Arial" panose="020B0604020202020204" pitchFamily="34" charset="0"/>
              <a:cs typeface="Arial" panose="020B0604020202020204" pitchFamily="34" charset="0"/>
            </a:rPr>
            <a:t>1.Category One - Independent Values</a:t>
          </a:r>
        </a:p>
        <a:p>
          <a:pPr algn="l"/>
          <a:r>
            <a:rPr lang="en-US" sz="1200" b="0">
              <a:solidFill>
                <a:schemeClr val="tx1"/>
              </a:solidFill>
              <a:latin typeface="Arial" panose="020B0604020202020204" pitchFamily="34" charset="0"/>
              <a:cs typeface="Arial" panose="020B0604020202020204" pitchFamily="34" charset="0"/>
            </a:rPr>
            <a:t>Customer Name</a:t>
          </a:r>
        </a:p>
        <a:p>
          <a:pPr algn="l"/>
          <a:r>
            <a:rPr lang="en-US" sz="1200" b="0">
              <a:solidFill>
                <a:schemeClr val="tx1"/>
              </a:solidFill>
              <a:latin typeface="Arial" panose="020B0604020202020204" pitchFamily="34" charset="0"/>
              <a:cs typeface="Arial" panose="020B0604020202020204" pitchFamily="34" charset="0"/>
            </a:rPr>
            <a:t>Salespersons</a:t>
          </a:r>
        </a:p>
        <a:p>
          <a:pPr algn="l"/>
          <a:r>
            <a:rPr lang="en-US" sz="1200" b="0">
              <a:solidFill>
                <a:schemeClr val="tx1"/>
              </a:solidFill>
              <a:latin typeface="Arial" panose="020B0604020202020204" pitchFamily="34" charset="0"/>
              <a:cs typeface="Arial" panose="020B0604020202020204" pitchFamily="34" charset="0"/>
            </a:rPr>
            <a:t>Region</a:t>
          </a:r>
        </a:p>
        <a:p>
          <a:pPr algn="l"/>
          <a:r>
            <a:rPr lang="en-US" sz="1200" b="0">
              <a:solidFill>
                <a:schemeClr val="tx1"/>
              </a:solidFill>
              <a:latin typeface="Arial" panose="020B0604020202020204" pitchFamily="34" charset="0"/>
              <a:cs typeface="Arial" panose="020B0604020202020204" pitchFamily="34" charset="0"/>
            </a:rPr>
            <a:t>Ship</a:t>
          </a:r>
          <a:r>
            <a:rPr lang="en-US" sz="1200" b="0" baseline="0">
              <a:solidFill>
                <a:schemeClr val="tx1"/>
              </a:solidFill>
              <a:latin typeface="Arial" panose="020B0604020202020204" pitchFamily="34" charset="0"/>
              <a:cs typeface="Arial" panose="020B0604020202020204" pitchFamily="34" charset="0"/>
            </a:rPr>
            <a:t> name</a:t>
          </a:r>
        </a:p>
        <a:p>
          <a:pPr algn="l"/>
          <a:r>
            <a:rPr lang="en-US" sz="1200" b="0" baseline="0">
              <a:solidFill>
                <a:schemeClr val="tx1"/>
              </a:solidFill>
              <a:latin typeface="Arial" panose="020B0604020202020204" pitchFamily="34" charset="0"/>
              <a:cs typeface="Arial" panose="020B0604020202020204" pitchFamily="34" charset="0"/>
            </a:rPr>
            <a:t>Ship country</a:t>
          </a:r>
        </a:p>
        <a:p>
          <a:pPr algn="l"/>
          <a:r>
            <a:rPr lang="en-US" sz="1200" b="0" baseline="0">
              <a:solidFill>
                <a:schemeClr val="tx1"/>
              </a:solidFill>
              <a:latin typeface="Arial" panose="020B0604020202020204" pitchFamily="34" charset="0"/>
              <a:cs typeface="Arial" panose="020B0604020202020204" pitchFamily="34" charset="0"/>
            </a:rPr>
            <a:t>payment type</a:t>
          </a:r>
        </a:p>
        <a:p>
          <a:pPr algn="l"/>
          <a:r>
            <a:rPr lang="en-US" sz="1200" b="0" baseline="0">
              <a:solidFill>
                <a:schemeClr val="tx1"/>
              </a:solidFill>
              <a:latin typeface="Arial" panose="020B0604020202020204" pitchFamily="34" charset="0"/>
              <a:cs typeface="Arial" panose="020B0604020202020204" pitchFamily="34" charset="0"/>
            </a:rPr>
            <a:t>product Name</a:t>
          </a:r>
        </a:p>
        <a:p>
          <a:pPr algn="l"/>
          <a:r>
            <a:rPr lang="en-US" sz="1200" b="0" baseline="0">
              <a:solidFill>
                <a:schemeClr val="tx1"/>
              </a:solidFill>
              <a:latin typeface="Arial" panose="020B0604020202020204" pitchFamily="34" charset="0"/>
              <a:cs typeface="Arial" panose="020B0604020202020204" pitchFamily="34" charset="0"/>
            </a:rPr>
            <a:t>Category</a:t>
          </a:r>
        </a:p>
        <a:p>
          <a:pPr algn="l"/>
          <a:endParaRPr lang="en-US" sz="1200" b="1" baseline="0">
            <a:solidFill>
              <a:schemeClr val="tx1"/>
            </a:solidFill>
            <a:latin typeface="Arial" panose="020B0604020202020204" pitchFamily="34" charset="0"/>
            <a:cs typeface="Arial" panose="020B0604020202020204" pitchFamily="34" charset="0"/>
          </a:endParaRPr>
        </a:p>
        <a:p>
          <a:pPr algn="l"/>
          <a:r>
            <a:rPr lang="en-US" sz="1200" b="1" baseline="0">
              <a:solidFill>
                <a:schemeClr val="tx1"/>
              </a:solidFill>
              <a:latin typeface="Arial" panose="020B0604020202020204" pitchFamily="34" charset="0"/>
              <a:cs typeface="Arial" panose="020B0604020202020204" pitchFamily="34" charset="0"/>
            </a:rPr>
            <a:t>2. Category Two - Dependent Values</a:t>
          </a:r>
        </a:p>
        <a:p>
          <a:pPr algn="l"/>
          <a:r>
            <a:rPr lang="en-US" sz="1200" b="0" baseline="0">
              <a:solidFill>
                <a:schemeClr val="tx1"/>
              </a:solidFill>
              <a:latin typeface="Arial" panose="020B0604020202020204" pitchFamily="34" charset="0"/>
              <a:cs typeface="Arial" panose="020B0604020202020204" pitchFamily="34" charset="0"/>
            </a:rPr>
            <a:t>Quantity</a:t>
          </a:r>
        </a:p>
        <a:p>
          <a:pPr algn="l"/>
          <a:r>
            <a:rPr lang="en-US" sz="1200" b="0" baseline="0">
              <a:solidFill>
                <a:schemeClr val="tx1"/>
              </a:solidFill>
              <a:latin typeface="Arial" panose="020B0604020202020204" pitchFamily="34" charset="0"/>
              <a:cs typeface="Arial" panose="020B0604020202020204" pitchFamily="34" charset="0"/>
            </a:rPr>
            <a:t>Revenue</a:t>
          </a:r>
        </a:p>
        <a:p>
          <a:pPr algn="l"/>
          <a:r>
            <a:rPr lang="en-US" sz="1200" b="0" baseline="0">
              <a:solidFill>
                <a:schemeClr val="tx1"/>
              </a:solidFill>
              <a:latin typeface="Arial" panose="020B0604020202020204" pitchFamily="34" charset="0"/>
              <a:cs typeface="Arial" panose="020B0604020202020204" pitchFamily="34" charset="0"/>
            </a:rPr>
            <a:t>Unit Price</a:t>
          </a:r>
        </a:p>
        <a:p>
          <a:pPr algn="l"/>
          <a:r>
            <a:rPr lang="en-US" sz="1200" b="0" baseline="0">
              <a:solidFill>
                <a:schemeClr val="tx1"/>
              </a:solidFill>
              <a:latin typeface="Arial" panose="020B0604020202020204" pitchFamily="34" charset="0"/>
              <a:cs typeface="Arial" panose="020B0604020202020204" pitchFamily="34" charset="0"/>
            </a:rPr>
            <a:t>Shipping fee</a:t>
          </a:r>
        </a:p>
        <a:p>
          <a:pPr algn="l"/>
          <a:endParaRPr lang="en-NG" sz="1200" b="1">
            <a:solidFill>
              <a:schemeClr val="tx1"/>
            </a:solidFill>
            <a:latin typeface="Arial" panose="020B0604020202020204" pitchFamily="34" charset="0"/>
            <a:cs typeface="Arial" panose="020B0604020202020204" pitchFamily="34" charset="0"/>
          </a:endParaRPr>
        </a:p>
      </xdr:txBody>
    </xdr:sp>
    <xdr:clientData/>
  </xdr:twoCellAnchor>
  <xdr:twoCellAnchor>
    <xdr:from>
      <xdr:col>1</xdr:col>
      <xdr:colOff>173402</xdr:colOff>
      <xdr:row>19</xdr:row>
      <xdr:rowOff>73268</xdr:rowOff>
    </xdr:from>
    <xdr:to>
      <xdr:col>13</xdr:col>
      <xdr:colOff>78153</xdr:colOff>
      <xdr:row>41</xdr:row>
      <xdr:rowOff>87922</xdr:rowOff>
    </xdr:to>
    <xdr:sp macro="" textlink="">
      <xdr:nvSpPr>
        <xdr:cNvPr id="4" name="Rectangle: Rounded Corners 3">
          <a:extLst>
            <a:ext uri="{FF2B5EF4-FFF2-40B4-BE49-F238E27FC236}">
              <a16:creationId xmlns:a16="http://schemas.microsoft.com/office/drawing/2014/main" id="{D4C34707-3AA9-9A25-4557-8D3384F2684B}"/>
            </a:ext>
          </a:extLst>
        </xdr:cNvPr>
        <xdr:cNvSpPr/>
      </xdr:nvSpPr>
      <xdr:spPr>
        <a:xfrm>
          <a:off x="779094" y="3599960"/>
          <a:ext cx="7173059" cy="409819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latin typeface="Arial" panose="020B0604020202020204" pitchFamily="34" charset="0"/>
              <a:cs typeface="Arial" panose="020B0604020202020204" pitchFamily="34" charset="0"/>
            </a:rPr>
            <a:t>	</a:t>
          </a:r>
          <a:r>
            <a:rPr lang="en-US" sz="1200" baseline="0">
              <a:solidFill>
                <a:schemeClr val="tx1"/>
              </a:solidFill>
              <a:latin typeface="Arial" panose="020B0604020202020204" pitchFamily="34" charset="0"/>
              <a:cs typeface="Arial" panose="020B0604020202020204" pitchFamily="34" charset="0"/>
            </a:rPr>
            <a:t>            </a:t>
          </a:r>
          <a:r>
            <a:rPr lang="en-US" sz="1200" b="1" u="sng">
              <a:solidFill>
                <a:schemeClr val="tx1"/>
              </a:solidFill>
              <a:latin typeface="Arial" panose="020B0604020202020204" pitchFamily="34" charset="0"/>
              <a:cs typeface="Arial" panose="020B0604020202020204" pitchFamily="34" charset="0"/>
            </a:rPr>
            <a:t>POTENTIAL</a:t>
          </a:r>
          <a:r>
            <a:rPr lang="en-US" sz="1200" b="1" u="sng" baseline="0">
              <a:solidFill>
                <a:schemeClr val="tx1"/>
              </a:solidFill>
              <a:latin typeface="Arial" panose="020B0604020202020204" pitchFamily="34" charset="0"/>
              <a:cs typeface="Arial" panose="020B0604020202020204" pitchFamily="34" charset="0"/>
            </a:rPr>
            <a:t> ANALYSIS / QUESTIONS</a:t>
          </a:r>
        </a:p>
        <a:p>
          <a:pPr algn="l"/>
          <a:endParaRPr lang="en-US" sz="1200" b="1" u="sng" baseline="0">
            <a:solidFill>
              <a:schemeClr val="tx1"/>
            </a:solidFill>
            <a:latin typeface="Arial" panose="020B0604020202020204" pitchFamily="34" charset="0"/>
            <a:cs typeface="Arial" panose="020B0604020202020204" pitchFamily="34" charset="0"/>
          </a:endParaRPr>
        </a:p>
        <a:p>
          <a:pPr algn="l"/>
          <a:r>
            <a:rPr lang="en-US" sz="1200" b="0" baseline="0">
              <a:solidFill>
                <a:schemeClr val="tx1"/>
              </a:solidFill>
              <a:latin typeface="Arial" panose="020B0604020202020204" pitchFamily="34" charset="0"/>
              <a:cs typeface="Arial" panose="020B0604020202020204" pitchFamily="34" charset="0"/>
            </a:rPr>
            <a:t>1. which region generates the highest revenue</a:t>
          </a:r>
        </a:p>
        <a:p>
          <a:pPr algn="l"/>
          <a:r>
            <a:rPr lang="en-US" sz="1200" b="0" baseline="0">
              <a:solidFill>
                <a:schemeClr val="tx1"/>
              </a:solidFill>
              <a:latin typeface="Arial" panose="020B0604020202020204" pitchFamily="34" charset="0"/>
              <a:cs typeface="Arial" panose="020B0604020202020204" pitchFamily="34" charset="0"/>
            </a:rPr>
            <a:t>2.Which product categories have the highest quantity sold, and how do they impact revenue?</a:t>
          </a:r>
        </a:p>
        <a:p>
          <a:pPr algn="l"/>
          <a:r>
            <a:rPr lang="en-US" sz="1200" b="0" baseline="0">
              <a:solidFill>
                <a:schemeClr val="tx1"/>
              </a:solidFill>
              <a:latin typeface="Arial" panose="020B0604020202020204" pitchFamily="34" charset="0"/>
              <a:cs typeface="Arial" panose="020B0604020202020204" pitchFamily="34" charset="0"/>
            </a:rPr>
            <a:t>3. which payment type generates the highest revenue?</a:t>
          </a:r>
        </a:p>
        <a:p>
          <a:pPr algn="l"/>
          <a:r>
            <a:rPr lang="en-US" sz="1200" b="0" baseline="0">
              <a:solidFill>
                <a:schemeClr val="tx1"/>
              </a:solidFill>
              <a:latin typeface="Arial" panose="020B0604020202020204" pitchFamily="34" charset="0"/>
              <a:cs typeface="Arial" panose="020B0604020202020204" pitchFamily="34" charset="0"/>
            </a:rPr>
            <a:t>4. Which product categories have the highest unit prices</a:t>
          </a:r>
        </a:p>
        <a:p>
          <a:pPr algn="l"/>
          <a:r>
            <a:rPr lang="en-US" sz="1200" b="0" baseline="0">
              <a:solidFill>
                <a:schemeClr val="tx1"/>
              </a:solidFill>
              <a:latin typeface="Arial" panose="020B0604020202020204" pitchFamily="34" charset="0"/>
              <a:cs typeface="Arial" panose="020B0604020202020204" pitchFamily="34" charset="0"/>
            </a:rPr>
            <a:t>5 Do certain customers purchase larger quantities than others</a:t>
          </a:r>
        </a:p>
        <a:p>
          <a:pPr algn="l"/>
          <a:r>
            <a:rPr lang="en-US" sz="1200" b="0" baseline="0">
              <a:solidFill>
                <a:schemeClr val="tx1"/>
              </a:solidFill>
              <a:latin typeface="Arial" panose="020B0604020202020204" pitchFamily="34" charset="0"/>
              <a:cs typeface="Arial" panose="020B0604020202020204" pitchFamily="34" charset="0"/>
            </a:rPr>
            <a:t>6. which region has the highest shipping fee</a:t>
          </a:r>
        </a:p>
        <a:p>
          <a:pPr algn="l"/>
          <a:r>
            <a:rPr lang="en-US" sz="1200" b="0" baseline="0">
              <a:solidFill>
                <a:schemeClr val="tx1"/>
              </a:solidFill>
              <a:latin typeface="Arial" panose="020B0604020202020204" pitchFamily="34" charset="0"/>
              <a:cs typeface="Arial" panose="020B0604020202020204" pitchFamily="34" charset="0"/>
            </a:rPr>
            <a:t>7. How does the salesperson influence unit price</a:t>
          </a:r>
        </a:p>
        <a:p>
          <a:pPr algn="l"/>
          <a:r>
            <a:rPr lang="en-US" sz="1200" b="0" baseline="0">
              <a:solidFill>
                <a:schemeClr val="tx1"/>
              </a:solidFill>
              <a:latin typeface="Arial" panose="020B0604020202020204" pitchFamily="34" charset="0"/>
              <a:cs typeface="Arial" panose="020B0604020202020204" pitchFamily="34" charset="0"/>
            </a:rPr>
            <a:t>8. Is there a correlation between product category and quantity sold?</a:t>
          </a:r>
        </a:p>
        <a:p>
          <a:pPr algn="l"/>
          <a:r>
            <a:rPr lang="en-US" sz="1200" b="0" baseline="0">
              <a:solidFill>
                <a:schemeClr val="tx1"/>
              </a:solidFill>
              <a:latin typeface="Arial" panose="020B0604020202020204" pitchFamily="34" charset="0"/>
              <a:cs typeface="Arial" panose="020B0604020202020204" pitchFamily="34" charset="0"/>
            </a:rPr>
            <a:t>9. which salesperson has the highest average shipping fee</a:t>
          </a:r>
        </a:p>
        <a:p>
          <a:pPr algn="l"/>
          <a:r>
            <a:rPr lang="en-US" sz="1200" b="0" baseline="0">
              <a:solidFill>
                <a:schemeClr val="tx1"/>
              </a:solidFill>
              <a:latin typeface="Arial" panose="020B0604020202020204" pitchFamily="34" charset="0"/>
              <a:cs typeface="Arial" panose="020B0604020202020204" pitchFamily="34" charset="0"/>
            </a:rPr>
            <a:t>10.  which countries have the highest quantity sold</a:t>
          </a:r>
        </a:p>
        <a:p>
          <a:pPr algn="l"/>
          <a:r>
            <a:rPr lang="en-US" sz="1200" b="0" baseline="0">
              <a:solidFill>
                <a:schemeClr val="tx1"/>
              </a:solidFill>
              <a:latin typeface="Arial" panose="020B0604020202020204" pitchFamily="34" charset="0"/>
              <a:cs typeface="Arial" panose="020B0604020202020204" pitchFamily="34" charset="0"/>
            </a:rPr>
            <a:t>11. Which product categories have the highest shipping fee</a:t>
          </a:r>
          <a:br>
            <a:rPr lang="en-US" sz="1200" b="0" baseline="0">
              <a:solidFill>
                <a:schemeClr val="tx1"/>
              </a:solidFill>
              <a:latin typeface="Arial" panose="020B0604020202020204" pitchFamily="34" charset="0"/>
              <a:cs typeface="Arial" panose="020B0604020202020204" pitchFamily="34" charset="0"/>
            </a:rPr>
          </a:br>
          <a:r>
            <a:rPr lang="en-US" sz="1200" b="0" baseline="0">
              <a:solidFill>
                <a:schemeClr val="tx1"/>
              </a:solidFill>
              <a:latin typeface="Arial" panose="020B0604020202020204" pitchFamily="34" charset="0"/>
              <a:cs typeface="Arial" panose="020B0604020202020204" pitchFamily="34" charset="0"/>
            </a:rPr>
            <a:t>12. </a:t>
          </a:r>
          <a:r>
            <a:rPr lang="en-US" sz="1200" b="0">
              <a:solidFill>
                <a:schemeClr val="tx1"/>
              </a:solidFill>
              <a:latin typeface="Arial" panose="020B0604020202020204" pitchFamily="34" charset="0"/>
              <a:cs typeface="Arial" panose="020B0604020202020204" pitchFamily="34" charset="0"/>
            </a:rPr>
            <a:t> which payment type has the highest shipping fee</a:t>
          </a:r>
        </a:p>
        <a:p>
          <a:pPr algn="l"/>
          <a:r>
            <a:rPr lang="en-US" sz="1200" b="0">
              <a:solidFill>
                <a:schemeClr val="tx1"/>
              </a:solidFill>
              <a:latin typeface="Arial" panose="020B0604020202020204" pitchFamily="34" charset="0"/>
              <a:cs typeface="Arial" panose="020B0604020202020204" pitchFamily="34" charset="0"/>
            </a:rPr>
            <a:t>13. which salesperson has the highest quantity sold</a:t>
          </a:r>
        </a:p>
        <a:p>
          <a:pPr algn="l"/>
          <a:r>
            <a:rPr lang="en-US" sz="1200" b="0">
              <a:solidFill>
                <a:schemeClr val="tx1"/>
              </a:solidFill>
              <a:latin typeface="Arial" panose="020B0604020202020204" pitchFamily="34" charset="0"/>
              <a:cs typeface="Arial" panose="020B0604020202020204" pitchFamily="34" charset="0"/>
            </a:rPr>
            <a:t>14. which region has the highest shipping fee variation</a:t>
          </a:r>
        </a:p>
        <a:p>
          <a:pPr algn="l"/>
          <a:r>
            <a:rPr lang="en-US" sz="1200" b="0">
              <a:solidFill>
                <a:schemeClr val="tx1"/>
              </a:solidFill>
              <a:latin typeface="Arial" panose="020B0604020202020204" pitchFamily="34" charset="0"/>
              <a:cs typeface="Arial" panose="020B0604020202020204" pitchFamily="34" charset="0"/>
            </a:rPr>
            <a:t>15.</a:t>
          </a:r>
          <a:r>
            <a:rPr lang="en-US" sz="1200" b="0" baseline="0">
              <a:solidFill>
                <a:schemeClr val="tx1"/>
              </a:solidFill>
              <a:latin typeface="Arial" panose="020B0604020202020204" pitchFamily="34" charset="0"/>
              <a:cs typeface="Arial" panose="020B0604020202020204" pitchFamily="34" charset="0"/>
            </a:rPr>
            <a:t> which countries have the highest unit prices</a:t>
          </a:r>
        </a:p>
        <a:p>
          <a:pPr algn="l"/>
          <a:r>
            <a:rPr lang="en-US" sz="1200" b="0" baseline="0">
              <a:solidFill>
                <a:schemeClr val="tx1"/>
              </a:solidFill>
              <a:latin typeface="Arial" panose="020B0604020202020204" pitchFamily="34" charset="0"/>
              <a:cs typeface="Arial" panose="020B0604020202020204" pitchFamily="34" charset="0"/>
            </a:rPr>
            <a:t>16. Which salespersons are most effective in selling specific product categories</a:t>
          </a:r>
        </a:p>
        <a:p>
          <a:pPr algn="l"/>
          <a:r>
            <a:rPr lang="en-US" sz="1200" b="0" baseline="0">
              <a:solidFill>
                <a:schemeClr val="tx1"/>
              </a:solidFill>
              <a:latin typeface="Arial" panose="020B0604020202020204" pitchFamily="34" charset="0"/>
              <a:cs typeface="Arial" panose="020B0604020202020204" pitchFamily="34" charset="0"/>
            </a:rPr>
            <a:t>17. How do different regions impact quantity sold for specific products</a:t>
          </a:r>
        </a:p>
        <a:p>
          <a:pPr algn="l"/>
          <a:r>
            <a:rPr lang="en-US" sz="1200" b="0" baseline="0">
              <a:solidFill>
                <a:schemeClr val="tx1"/>
              </a:solidFill>
              <a:latin typeface="Arial" panose="020B0604020202020204" pitchFamily="34" charset="0"/>
              <a:cs typeface="Arial" panose="020B0604020202020204" pitchFamily="34" charset="0"/>
            </a:rPr>
            <a:t>18. Do certain customers incur higher shipping fees than others</a:t>
          </a:r>
        </a:p>
        <a:p>
          <a:pPr algn="l"/>
          <a:r>
            <a:rPr lang="en-US" sz="1100" b="1">
              <a:latin typeface="Arial" panose="020B0604020202020204" pitchFamily="34" charset="0"/>
              <a:cs typeface="Arial" panose="020B0604020202020204" pitchFamily="34" charset="0"/>
            </a:rPr>
            <a:t>1. 1. E </a:t>
          </a:r>
          <a:endParaRPr lang="en-NG" sz="1100" b="1">
            <a:latin typeface="Arial" panose="020B0604020202020204" pitchFamily="34" charset="0"/>
            <a:cs typeface="Arial" panose="020B0604020202020204" pitchFamily="34" charset="0"/>
          </a:endParaRPr>
        </a:p>
      </xdr:txBody>
    </xdr:sp>
    <xdr:clientData/>
  </xdr:twoCellAnchor>
  <xdr:twoCellAnchor>
    <xdr:from>
      <xdr:col>0</xdr:col>
      <xdr:colOff>527538</xdr:colOff>
      <xdr:row>0</xdr:row>
      <xdr:rowOff>133839</xdr:rowOff>
    </xdr:from>
    <xdr:to>
      <xdr:col>13</xdr:col>
      <xdr:colOff>302846</xdr:colOff>
      <xdr:row>18</xdr:row>
      <xdr:rowOff>29308</xdr:rowOff>
    </xdr:to>
    <xdr:sp macro="" textlink="">
      <xdr:nvSpPr>
        <xdr:cNvPr id="5" name="Rectangle: Rounded Corners 4">
          <a:extLst>
            <a:ext uri="{FF2B5EF4-FFF2-40B4-BE49-F238E27FC236}">
              <a16:creationId xmlns:a16="http://schemas.microsoft.com/office/drawing/2014/main" id="{C8821FD7-C2A2-E8BF-B367-6B70EDD8AD17}"/>
            </a:ext>
          </a:extLst>
        </xdr:cNvPr>
        <xdr:cNvSpPr/>
      </xdr:nvSpPr>
      <xdr:spPr>
        <a:xfrm>
          <a:off x="527538" y="133839"/>
          <a:ext cx="7700108" cy="3324469"/>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latin typeface="Arial" panose="020B0604020202020204" pitchFamily="34" charset="0"/>
              <a:cs typeface="Arial" panose="020B0604020202020204" pitchFamily="34" charset="0"/>
            </a:rPr>
            <a:t>		INDUSTRY TYPE</a:t>
          </a:r>
        </a:p>
        <a:p>
          <a:pPr algn="l"/>
          <a:r>
            <a:rPr lang="en-US" sz="1200" b="0">
              <a:latin typeface="Arial" panose="020B0604020202020204" pitchFamily="34" charset="0"/>
              <a:cs typeface="Arial" panose="020B0604020202020204" pitchFamily="34" charset="0"/>
            </a:rPr>
            <a:t>Grocery Store Chain</a:t>
          </a:r>
        </a:p>
        <a:p>
          <a:pPr algn="l"/>
          <a:endParaRPr lang="en-US" sz="1200" b="0">
            <a:latin typeface="Arial" panose="020B0604020202020204" pitchFamily="34" charset="0"/>
            <a:cs typeface="Arial" panose="020B0604020202020204" pitchFamily="34" charset="0"/>
          </a:endParaRPr>
        </a:p>
        <a:p>
          <a:pPr algn="l"/>
          <a:endParaRPr lang="en-US" sz="1200" b="0">
            <a:latin typeface="Arial" panose="020B0604020202020204" pitchFamily="34" charset="0"/>
            <a:cs typeface="Arial" panose="020B0604020202020204" pitchFamily="34" charset="0"/>
          </a:endParaRPr>
        </a:p>
        <a:p>
          <a:pPr algn="l"/>
          <a:r>
            <a:rPr lang="en-US" sz="1200" b="0">
              <a:latin typeface="Arial" panose="020B0604020202020204" pitchFamily="34" charset="0"/>
              <a:cs typeface="Arial" panose="020B0604020202020204" pitchFamily="34" charset="0"/>
            </a:rPr>
            <a:t>		</a:t>
          </a:r>
          <a:r>
            <a:rPr lang="en-US" sz="1200" b="1">
              <a:latin typeface="Arial" panose="020B0604020202020204" pitchFamily="34" charset="0"/>
              <a:cs typeface="Arial" panose="020B0604020202020204" pitchFamily="34" charset="0"/>
            </a:rPr>
            <a:t>DATA STORY</a:t>
          </a:r>
          <a:r>
            <a:rPr lang="en-US" sz="1200" b="1" baseline="0">
              <a:latin typeface="Arial" panose="020B0604020202020204" pitchFamily="34" charset="0"/>
              <a:cs typeface="Arial" panose="020B0604020202020204" pitchFamily="34" charset="0"/>
            </a:rPr>
            <a:t> OVERVIEW</a:t>
          </a:r>
          <a:endParaRPr lang="en-US" sz="1200" b="1">
            <a:latin typeface="Arial" panose="020B0604020202020204" pitchFamily="34" charset="0"/>
            <a:cs typeface="Arial" panose="020B0604020202020204" pitchFamily="34" charset="0"/>
          </a:endParaRPr>
        </a:p>
        <a:p>
          <a:pPr algn="l"/>
          <a:r>
            <a:rPr lang="en-US" sz="1200" b="0">
              <a:latin typeface="Arial" panose="020B0604020202020204" pitchFamily="34" charset="0"/>
              <a:cs typeface="Arial" panose="020B0604020202020204" pitchFamily="34" charset="0"/>
            </a:rPr>
            <a:t>The chain of grocery stores operates across various U.S regions and cities, capturing sales activity data that includes product details,</a:t>
          </a:r>
          <a:r>
            <a:rPr lang="en-US" sz="1200" b="0" baseline="0">
              <a:latin typeface="Arial" panose="020B0604020202020204" pitchFamily="34" charset="0"/>
              <a:cs typeface="Arial" panose="020B0604020202020204" pitchFamily="34" charset="0"/>
            </a:rPr>
            <a:t> </a:t>
          </a:r>
          <a:r>
            <a:rPr lang="en-US" sz="1200" b="0">
              <a:latin typeface="Arial" panose="020B0604020202020204" pitchFamily="34" charset="0"/>
              <a:cs typeface="Arial" panose="020B0604020202020204" pitchFamily="34" charset="0"/>
            </a:rPr>
            <a:t>quantity and type of products purchased,</a:t>
          </a:r>
          <a:r>
            <a:rPr lang="en-US" sz="1200" b="0" baseline="0">
              <a:latin typeface="Arial" panose="020B0604020202020204" pitchFamily="34" charset="0"/>
              <a:cs typeface="Arial" panose="020B0604020202020204" pitchFamily="34" charset="0"/>
            </a:rPr>
            <a:t> the c</a:t>
          </a:r>
          <a:r>
            <a:rPr lang="en-US" sz="1200" b="0">
              <a:latin typeface="Arial" panose="020B0604020202020204" pitchFamily="34" charset="0"/>
              <a:cs typeface="Arial" panose="020B0604020202020204" pitchFamily="34" charset="0"/>
            </a:rPr>
            <a:t>ustomer Information, sales team involved in the transactions, Shipping delivery details</a:t>
          </a:r>
          <a:r>
            <a:rPr lang="en-US" sz="1200" b="0" baseline="0">
              <a:latin typeface="Arial" panose="020B0604020202020204" pitchFamily="34" charset="0"/>
              <a:cs typeface="Arial" panose="020B0604020202020204" pitchFamily="34" charset="0"/>
            </a:rPr>
            <a:t> </a:t>
          </a:r>
          <a:r>
            <a:rPr lang="en-US" sz="1200" b="0">
              <a:latin typeface="Arial" panose="020B0604020202020204" pitchFamily="34" charset="0"/>
              <a:cs typeface="Arial" panose="020B0604020202020204" pitchFamily="34" charset="0"/>
            </a:rPr>
            <a:t>including location and method of order.</a:t>
          </a:r>
        </a:p>
        <a:p>
          <a:pPr algn="l"/>
          <a:endParaRPr lang="en-US" sz="1200" b="0">
            <a:latin typeface="Arial" panose="020B0604020202020204" pitchFamily="34" charset="0"/>
            <a:cs typeface="Arial" panose="020B0604020202020204" pitchFamily="34" charset="0"/>
          </a:endParaRPr>
        </a:p>
        <a:p>
          <a:pPr algn="l"/>
          <a:r>
            <a:rPr lang="en-US" sz="1200" b="0">
              <a:latin typeface="Arial" panose="020B0604020202020204" pitchFamily="34" charset="0"/>
              <a:cs typeface="Arial" panose="020B0604020202020204" pitchFamily="34" charset="0"/>
            </a:rPr>
            <a:t>		</a:t>
          </a:r>
          <a:r>
            <a:rPr lang="en-US" sz="1200" b="1">
              <a:latin typeface="Arial" panose="020B0604020202020204" pitchFamily="34" charset="0"/>
              <a:cs typeface="Arial" panose="020B0604020202020204" pitchFamily="34" charset="0"/>
            </a:rPr>
            <a:t>STAKEHOLDER</a:t>
          </a:r>
          <a:r>
            <a:rPr lang="en-US" sz="1200" b="1" baseline="0">
              <a:latin typeface="Arial" panose="020B0604020202020204" pitchFamily="34" charset="0"/>
              <a:cs typeface="Arial" panose="020B0604020202020204" pitchFamily="34" charset="0"/>
            </a:rPr>
            <a:t> INVOLVED</a:t>
          </a:r>
        </a:p>
        <a:p>
          <a:pPr algn="l"/>
          <a:r>
            <a:rPr lang="en-US" sz="1200" b="0">
              <a:latin typeface="Arial" panose="020B0604020202020204" pitchFamily="34" charset="0"/>
              <a:cs typeface="Arial" panose="020B0604020202020204" pitchFamily="34" charset="0"/>
            </a:rPr>
            <a:t>The</a:t>
          </a:r>
          <a:r>
            <a:rPr lang="en-US" sz="1200" b="0" baseline="0">
              <a:latin typeface="Arial" panose="020B0604020202020204" pitchFamily="34" charset="0"/>
              <a:cs typeface="Arial" panose="020B0604020202020204" pitchFamily="34" charset="0"/>
            </a:rPr>
            <a:t> Chief executives, and the marketing team</a:t>
          </a:r>
        </a:p>
        <a:p>
          <a:pPr algn="l"/>
          <a:endParaRPr lang="en-US" sz="1200" b="0" baseline="0">
            <a:latin typeface="Arial" panose="020B0604020202020204" pitchFamily="34" charset="0"/>
            <a:cs typeface="Arial" panose="020B0604020202020204" pitchFamily="34" charset="0"/>
          </a:endParaRPr>
        </a:p>
        <a:p>
          <a:pPr algn="l"/>
          <a:r>
            <a:rPr lang="en-US" sz="1200" b="0" baseline="0">
              <a:latin typeface="Arial" panose="020B0604020202020204" pitchFamily="34" charset="0"/>
              <a:cs typeface="Arial" panose="020B0604020202020204" pitchFamily="34" charset="0"/>
            </a:rPr>
            <a:t>		</a:t>
          </a:r>
          <a:r>
            <a:rPr lang="en-US" sz="1200" b="1" baseline="0">
              <a:latin typeface="Arial" panose="020B0604020202020204" pitchFamily="34" charset="0"/>
              <a:cs typeface="Arial" panose="020B0604020202020204" pitchFamily="34" charset="0"/>
            </a:rPr>
            <a:t>WHAT SUCCESS MEANS TO THE COMPANY</a:t>
          </a:r>
        </a:p>
        <a:p>
          <a:pPr algn="l"/>
          <a:endParaRPr lang="en-US" sz="1200" b="1" baseline="0">
            <a:latin typeface="Arial" panose="020B0604020202020204" pitchFamily="34" charset="0"/>
            <a:cs typeface="Arial" panose="020B0604020202020204" pitchFamily="34" charset="0"/>
          </a:endParaRPr>
        </a:p>
        <a:p>
          <a:pPr algn="l"/>
          <a:r>
            <a:rPr lang="en-US" sz="1200" b="0" baseline="0">
              <a:latin typeface="Arial" panose="020B0604020202020204" pitchFamily="34" charset="0"/>
              <a:cs typeface="Arial" panose="020B0604020202020204" pitchFamily="34" charset="0"/>
            </a:rPr>
            <a:t>Driving sales, maintaining healthy profit margins, and expanding the customer base.</a:t>
          </a:r>
        </a:p>
        <a:p>
          <a:pPr algn="l"/>
          <a:endParaRPr lang="en-US" sz="1100" b="1">
            <a:latin typeface="Arial" panose="020B0604020202020204" pitchFamily="34" charset="0"/>
            <a:cs typeface="Arial" panose="020B0604020202020204" pitchFamily="34" charset="0"/>
          </a:endParaRPr>
        </a:p>
      </xdr:txBody>
    </xdr:sp>
    <xdr:clientData/>
  </xdr:twoCellAnchor>
  <xdr:twoCellAnchor>
    <xdr:from>
      <xdr:col>13</xdr:col>
      <xdr:colOff>504091</xdr:colOff>
      <xdr:row>19</xdr:row>
      <xdr:rowOff>12699</xdr:rowOff>
    </xdr:from>
    <xdr:to>
      <xdr:col>26</xdr:col>
      <xdr:colOff>420077</xdr:colOff>
      <xdr:row>40</xdr:row>
      <xdr:rowOff>146537</xdr:rowOff>
    </xdr:to>
    <xdr:sp macro="" textlink="">
      <xdr:nvSpPr>
        <xdr:cNvPr id="6" name="Rectangle: Rounded Corners 5">
          <a:extLst>
            <a:ext uri="{FF2B5EF4-FFF2-40B4-BE49-F238E27FC236}">
              <a16:creationId xmlns:a16="http://schemas.microsoft.com/office/drawing/2014/main" id="{44A8C281-2DB4-F6F9-671D-E40C2D699B8C}"/>
            </a:ext>
          </a:extLst>
        </xdr:cNvPr>
        <xdr:cNvSpPr/>
      </xdr:nvSpPr>
      <xdr:spPr>
        <a:xfrm>
          <a:off x="8378091" y="3539391"/>
          <a:ext cx="7789986" cy="4031761"/>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latin typeface="Arial" panose="020B0604020202020204" pitchFamily="34" charset="0"/>
              <a:cs typeface="Arial" panose="020B0604020202020204" pitchFamily="34" charset="0"/>
            </a:rPr>
            <a:t>		</a:t>
          </a:r>
          <a:r>
            <a:rPr lang="en-US" sz="1200" b="1" u="sng">
              <a:latin typeface="Arial" panose="020B0604020202020204" pitchFamily="34" charset="0"/>
              <a:cs typeface="Arial" panose="020B0604020202020204" pitchFamily="34" charset="0"/>
            </a:rPr>
            <a:t>POTENTIAL</a:t>
          </a:r>
          <a:r>
            <a:rPr lang="en-US" sz="1200" b="1" u="sng" baseline="0">
              <a:latin typeface="Arial" panose="020B0604020202020204" pitchFamily="34" charset="0"/>
              <a:cs typeface="Arial" panose="020B0604020202020204" pitchFamily="34" charset="0"/>
            </a:rPr>
            <a:t> INSIGHT</a:t>
          </a:r>
        </a:p>
        <a:p>
          <a:pPr algn="l"/>
          <a:endParaRPr lang="en-US" sz="1200" b="1" u="sng">
            <a:latin typeface="Arial" panose="020B0604020202020204" pitchFamily="34" charset="0"/>
            <a:cs typeface="Arial" panose="020B0604020202020204" pitchFamily="34" charset="0"/>
          </a:endParaRPr>
        </a:p>
        <a:p>
          <a:pPr algn="l"/>
          <a:r>
            <a:rPr lang="en-US" sz="1200" b="0">
              <a:latin typeface="Arial" panose="020B0604020202020204" pitchFamily="34" charset="0"/>
              <a:cs typeface="Arial" panose="020B0604020202020204" pitchFamily="34" charset="0"/>
            </a:rPr>
            <a:t>1. Identify customers with the highest total revenue.</a:t>
          </a:r>
        </a:p>
        <a:p>
          <a:pPr algn="l"/>
          <a:r>
            <a:rPr lang="en-US" sz="1200" b="0">
              <a:latin typeface="Arial" panose="020B0604020202020204" pitchFamily="34" charset="0"/>
              <a:cs typeface="Arial" panose="020B0604020202020204" pitchFamily="34" charset="0"/>
            </a:rPr>
            <a:t>2. Understand average revenue per customer across cities.</a:t>
          </a:r>
        </a:p>
        <a:p>
          <a:pPr algn="l"/>
          <a:r>
            <a:rPr lang="en-US" sz="1200" b="0">
              <a:latin typeface="Arial" panose="020B0604020202020204" pitchFamily="34" charset="0"/>
              <a:cs typeface="Arial" panose="020B0604020202020204" pitchFamily="34" charset="0"/>
            </a:rPr>
            <a:t>3. Recognize salespeople generating high revenue or quantity sold.</a:t>
          </a:r>
        </a:p>
        <a:p>
          <a:pPr algn="l"/>
          <a:r>
            <a:rPr lang="en-US" sz="1200" b="0">
              <a:latin typeface="Arial" panose="020B0604020202020204" pitchFamily="34" charset="0"/>
              <a:cs typeface="Arial" panose="020B0604020202020204" pitchFamily="34" charset="0"/>
            </a:rPr>
            <a:t>4.</a:t>
          </a:r>
          <a:r>
            <a:rPr lang="en-US" sz="1200" b="0" baseline="0">
              <a:latin typeface="Arial" panose="020B0604020202020204" pitchFamily="34" charset="0"/>
              <a:cs typeface="Arial" panose="020B0604020202020204" pitchFamily="34" charset="0"/>
            </a:rPr>
            <a:t> Identify salespeople dominating specific product categories.</a:t>
          </a:r>
        </a:p>
        <a:p>
          <a:pPr algn="l"/>
          <a:r>
            <a:rPr lang="en-US" sz="1200" b="0" baseline="0">
              <a:latin typeface="Arial" panose="020B0604020202020204" pitchFamily="34" charset="0"/>
              <a:cs typeface="Arial" panose="020B0604020202020204" pitchFamily="34" charset="0"/>
            </a:rPr>
            <a:t>5. Determine regions with high revenue vs. shipping costs.</a:t>
          </a:r>
        </a:p>
        <a:p>
          <a:pPr algn="l"/>
          <a:r>
            <a:rPr lang="en-US" sz="1200" b="0" baseline="0">
              <a:latin typeface="Arial" panose="020B0604020202020204" pitchFamily="34" charset="0"/>
              <a:cs typeface="Arial" panose="020B0604020202020204" pitchFamily="34" charset="0"/>
            </a:rPr>
            <a:t>6. Identify products with high revenue and profit margins.</a:t>
          </a:r>
        </a:p>
        <a:p>
          <a:pPr algn="l"/>
          <a:r>
            <a:rPr lang="en-US" sz="1200" b="0" baseline="0">
              <a:latin typeface="Arial" panose="020B0604020202020204" pitchFamily="34" charset="0"/>
              <a:cs typeface="Arial" panose="020B0604020202020204" pitchFamily="34" charset="0"/>
            </a:rPr>
            <a:t>7. Analyze product categories by revenue and quantity sold.</a:t>
          </a:r>
        </a:p>
        <a:p>
          <a:pPr algn="l"/>
          <a:r>
            <a:rPr lang="en-US" sz="1200" b="0">
              <a:latin typeface="Arial" panose="020B0604020202020204" pitchFamily="34" charset="0"/>
              <a:cs typeface="Arial" panose="020B0604020202020204" pitchFamily="34" charset="0"/>
            </a:rPr>
            <a:t>8. Discover regional preferences for certain products or categories.</a:t>
          </a:r>
        </a:p>
        <a:p>
          <a:pPr algn="l"/>
          <a:r>
            <a:rPr lang="en-US" sz="1200" b="0">
              <a:latin typeface="Arial" panose="020B0604020202020204" pitchFamily="34" charset="0"/>
              <a:cs typeface="Arial" panose="020B0604020202020204" pitchFamily="34" charset="0"/>
            </a:rPr>
            <a:t>9. Understand how unit price affects quantity sold across categories.</a:t>
          </a:r>
        </a:p>
        <a:p>
          <a:pPr algn="l"/>
          <a:r>
            <a:rPr lang="en-US" sz="1200" b="0">
              <a:latin typeface="Arial" panose="020B0604020202020204" pitchFamily="34" charset="0"/>
              <a:cs typeface="Arial" panose="020B0604020202020204" pitchFamily="34" charset="0"/>
            </a:rPr>
            <a:t>10. Identify shipping locations with high fees relative to revenue.</a:t>
          </a:r>
        </a:p>
        <a:p>
          <a:pPr algn="l"/>
          <a:r>
            <a:rPr lang="en-US" sz="1200" b="0">
              <a:latin typeface="Arial" panose="020B0604020202020204" pitchFamily="34" charset="0"/>
              <a:cs typeface="Arial" panose="020B0604020202020204" pitchFamily="34" charset="0"/>
            </a:rPr>
            <a:t>11. Determine if certain ships are more efficient in specific regions</a:t>
          </a:r>
        </a:p>
        <a:p>
          <a:pPr algn="l"/>
          <a:r>
            <a:rPr lang="en-US" sz="1200" b="0">
              <a:latin typeface="Arial" panose="020B0604020202020204" pitchFamily="34" charset="0"/>
              <a:cs typeface="Arial" panose="020B0604020202020204" pitchFamily="34" charset="0"/>
            </a:rPr>
            <a:t>12. Analyze how shipping fees affect customer purchasing behavior.</a:t>
          </a:r>
        </a:p>
        <a:p>
          <a:pPr algn="l"/>
          <a:r>
            <a:rPr lang="en-US" sz="1200" b="0">
              <a:latin typeface="Arial" panose="020B0604020202020204" pitchFamily="34" charset="0"/>
              <a:cs typeface="Arial" panose="020B0604020202020204" pitchFamily="34" charset="0"/>
            </a:rPr>
            <a:t>13. Calculate average shipping fees per order across regions and categories.</a:t>
          </a:r>
        </a:p>
        <a:p>
          <a:pPr algn="l"/>
          <a:r>
            <a:rPr lang="en-US" sz="1200" b="0">
              <a:latin typeface="Arial" panose="020B0604020202020204" pitchFamily="34" charset="0"/>
              <a:cs typeface="Arial" panose="020B0604020202020204" pitchFamily="34" charset="0"/>
            </a:rPr>
            <a:t>14. Identify payment types used by high-value customers.</a:t>
          </a:r>
        </a:p>
        <a:p>
          <a:pPr algn="l"/>
          <a:r>
            <a:rPr lang="en-US" sz="1200" b="0">
              <a:latin typeface="Arial" panose="020B0604020202020204" pitchFamily="34" charset="0"/>
              <a:cs typeface="Arial" panose="020B0604020202020204" pitchFamily="34" charset="0"/>
            </a:rPr>
            <a:t>15. Determine if certain payment types correlate with higher revenue.</a:t>
          </a:r>
        </a:p>
        <a:p>
          <a:pPr algn="l"/>
          <a:r>
            <a:rPr lang="en-US" sz="1200" b="0">
              <a:latin typeface="Arial" panose="020B0604020202020204" pitchFamily="34" charset="0"/>
              <a:cs typeface="Arial" panose="020B0604020202020204" pitchFamily="34" charset="0"/>
            </a:rPr>
            <a:t>16. Analyze the relationship between quantity sold and revenue across regions.</a:t>
          </a:r>
        </a:p>
        <a:p>
          <a:pPr algn="l"/>
          <a:r>
            <a:rPr lang="en-US" sz="1200" b="0">
              <a:latin typeface="Arial" panose="020B0604020202020204" pitchFamily="34" charset="0"/>
              <a:cs typeface="Arial" panose="020B0604020202020204" pitchFamily="34" charset="0"/>
            </a:rPr>
            <a:t>17. Identify regions where customers purchase at higher unit prices.</a:t>
          </a:r>
        </a:p>
        <a:p>
          <a:pPr algn="l"/>
          <a:r>
            <a:rPr lang="en-US" sz="1200" b="0">
              <a:latin typeface="Arial" panose="020B0604020202020204" pitchFamily="34" charset="0"/>
              <a:cs typeface="Arial" panose="020B0604020202020204" pitchFamily="34" charset="0"/>
            </a:rPr>
            <a:t>18. Determine regions with a mismatch between revenue and shipping cost efficiency.</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12</xdr:col>
      <xdr:colOff>370654</xdr:colOff>
      <xdr:row>0</xdr:row>
      <xdr:rowOff>114933</xdr:rowOff>
    </xdr:from>
    <xdr:to>
      <xdr:col>23</xdr:col>
      <xdr:colOff>447517</xdr:colOff>
      <xdr:row>17</xdr:row>
      <xdr:rowOff>153003</xdr:rowOff>
    </xdr:to>
    <xdr:sp macro="" textlink="">
      <xdr:nvSpPr>
        <xdr:cNvPr id="3" name="Rectangle: Rounded Corners 2">
          <a:extLst>
            <a:ext uri="{FF2B5EF4-FFF2-40B4-BE49-F238E27FC236}">
              <a16:creationId xmlns:a16="http://schemas.microsoft.com/office/drawing/2014/main" id="{804A1397-FC4E-413B-AFF7-414E98B8C282}"/>
            </a:ext>
          </a:extLst>
        </xdr:cNvPr>
        <xdr:cNvSpPr/>
      </xdr:nvSpPr>
      <xdr:spPr>
        <a:xfrm>
          <a:off x="7697577" y="114933"/>
          <a:ext cx="6793209" cy="335960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800" b="1">
              <a:solidFill>
                <a:schemeClr val="tx1"/>
              </a:solidFill>
              <a:effectLst/>
              <a:latin typeface="+mn-lt"/>
              <a:ea typeface="+mn-ea"/>
              <a:cs typeface="+mn-cs"/>
            </a:rPr>
            <a:t>ANALYSIS - Sales</a:t>
          </a:r>
          <a:r>
            <a:rPr lang="en-US" sz="800" b="1" baseline="0">
              <a:solidFill>
                <a:schemeClr val="tx1"/>
              </a:solidFill>
              <a:effectLst/>
              <a:latin typeface="+mn-lt"/>
              <a:ea typeface="+mn-ea"/>
              <a:cs typeface="+mn-cs"/>
            </a:rPr>
            <a:t> by Regions</a:t>
          </a:r>
        </a:p>
        <a:p>
          <a:endParaRPr lang="en-NG" sz="800">
            <a:solidFill>
              <a:schemeClr val="tx1"/>
            </a:solidFill>
            <a:effectLst/>
          </a:endParaRPr>
        </a:p>
        <a:p>
          <a:r>
            <a:rPr lang="en-US" sz="800" b="1" baseline="0">
              <a:solidFill>
                <a:schemeClr val="tx1"/>
              </a:solidFill>
              <a:effectLst/>
              <a:latin typeface="+mn-lt"/>
              <a:ea typeface="+mn-ea"/>
              <a:cs typeface="+mn-cs"/>
            </a:rPr>
            <a:t>OBSERVATION</a:t>
          </a:r>
          <a:endParaRPr lang="en-NG" sz="800">
            <a:solidFill>
              <a:schemeClr val="tx1"/>
            </a:solidFill>
            <a:effectLst/>
          </a:endParaRPr>
        </a:p>
        <a:p>
          <a:r>
            <a:rPr lang="en-US" sz="800" b="0" i="0" u="none" strike="noStrike">
              <a:solidFill>
                <a:schemeClr val="tx1"/>
              </a:solidFill>
              <a:effectLst/>
              <a:latin typeface="+mn-lt"/>
              <a:ea typeface="+mn-ea"/>
              <a:cs typeface="+mn-cs"/>
            </a:rPr>
            <a:t>1. Northern Region dominates sales, contributing the highest with $141,680.34, well above all other regions.</a:t>
          </a:r>
          <a:r>
            <a:rPr lang="en-US" sz="800">
              <a:solidFill>
                <a:schemeClr val="tx1"/>
              </a:solidFill>
            </a:rPr>
            <a:t> </a:t>
          </a:r>
        </a:p>
        <a:p>
          <a:r>
            <a:rPr lang="en-US" sz="800" b="0" i="0" u="none" strike="noStrike">
              <a:solidFill>
                <a:schemeClr val="tx1"/>
              </a:solidFill>
              <a:effectLst/>
              <a:latin typeface="+mn-lt"/>
              <a:ea typeface="+mn-ea"/>
              <a:cs typeface="+mn-cs"/>
            </a:rPr>
            <a:t>2. Eastern Region holds second place at $108,275.51, maintaining a strong but noticeably lower performance than North.</a:t>
          </a:r>
        </a:p>
        <a:p>
          <a:r>
            <a:rPr lang="en-US" sz="800" b="0" i="0" u="none" strike="noStrike">
              <a:solidFill>
                <a:schemeClr val="tx1"/>
              </a:solidFill>
              <a:effectLst/>
              <a:latin typeface="+mn-lt"/>
              <a:ea typeface="+mn-ea"/>
              <a:cs typeface="+mn-cs"/>
            </a:rPr>
            <a:t>3. Southern and Western Regions are close in performance, generating $93,858.33 and $91,251.98 respectively, with only a $2,606.35 difference.</a:t>
          </a:r>
        </a:p>
        <a:p>
          <a:r>
            <a:rPr lang="en-US" sz="800" b="0" i="0" u="none" strike="noStrike">
              <a:solidFill>
                <a:schemeClr val="tx1"/>
              </a:solidFill>
              <a:effectLst/>
              <a:latin typeface="+mn-lt"/>
              <a:ea typeface="+mn-ea"/>
              <a:cs typeface="+mn-cs"/>
            </a:rPr>
            <a:t>4. There's a clear performance gap between North and West</a:t>
          </a:r>
          <a:r>
            <a:rPr lang="en-US" sz="800" b="0" i="0" u="none" strike="noStrike" baseline="0">
              <a:solidFill>
                <a:schemeClr val="tx1"/>
              </a:solidFill>
              <a:effectLst/>
              <a:latin typeface="+mn-lt"/>
              <a:ea typeface="+mn-ea"/>
              <a:cs typeface="+mn-cs"/>
            </a:rPr>
            <a:t>, </a:t>
          </a:r>
          <a:r>
            <a:rPr lang="en-US" sz="800" b="0" i="0" u="none" strike="noStrike">
              <a:solidFill>
                <a:schemeClr val="tx1"/>
              </a:solidFill>
              <a:effectLst/>
              <a:latin typeface="+mn-lt"/>
              <a:ea typeface="+mn-ea"/>
              <a:cs typeface="+mn-cs"/>
            </a:rPr>
            <a:t>North's total is over $50,000 more.</a:t>
          </a:r>
          <a:endParaRPr lang="en-US" sz="800">
            <a:solidFill>
              <a:schemeClr val="tx1"/>
            </a:solidFill>
          </a:endParaRPr>
        </a:p>
        <a:p>
          <a:r>
            <a:rPr lang="en-US" sz="800" b="0" i="0" u="none" strike="noStrike">
              <a:solidFill>
                <a:schemeClr val="tx1"/>
              </a:solidFill>
              <a:effectLst/>
              <a:latin typeface="+mn-lt"/>
              <a:ea typeface="+mn-ea"/>
              <a:cs typeface="+mn-cs"/>
            </a:rPr>
            <a:t>7. Opportunity exists to boost West region sales, as it's slightly behind South despite their similarity.</a:t>
          </a:r>
          <a:r>
            <a:rPr lang="en-US" sz="800">
              <a:solidFill>
                <a:schemeClr val="tx1"/>
              </a:solidFill>
            </a:rPr>
            <a:t> </a:t>
          </a:r>
        </a:p>
        <a:p>
          <a:r>
            <a:rPr lang="en-US" sz="800" b="0" i="0" u="none" strike="noStrike">
              <a:solidFill>
                <a:schemeClr val="tx1"/>
              </a:solidFill>
              <a:effectLst/>
              <a:latin typeface="+mn-lt"/>
              <a:ea typeface="+mn-ea"/>
              <a:cs typeface="+mn-cs"/>
            </a:rPr>
            <a:t>8. This chart hints at regional strategy optimization, especially for East, South, and West.behind South despite their similarity.</a:t>
          </a:r>
          <a:r>
            <a:rPr lang="en-US" sz="800">
              <a:solidFill>
                <a:schemeClr val="tx1"/>
              </a:solidFill>
            </a:rPr>
            <a:t> </a:t>
          </a:r>
          <a:r>
            <a:rPr lang="en-US" sz="800" b="0" i="0" u="none" strike="noStrike">
              <a:solidFill>
                <a:schemeClr val="tx1"/>
              </a:solidFill>
              <a:effectLst/>
              <a:latin typeface="+mn-lt"/>
              <a:ea typeface="+mn-ea"/>
              <a:cs typeface="+mn-cs"/>
            </a:rPr>
            <a:t>8. This chart hints at regional strategy optimization, especially for East, South, anest.</a:t>
          </a:r>
          <a:r>
            <a:rPr lang="en-US" sz="800">
              <a:solidFill>
                <a:schemeClr val="tx1"/>
              </a:solidFill>
            </a:rPr>
            <a:t> </a:t>
          </a:r>
          <a:endParaRPr lang="en-NG" sz="800">
            <a:solidFill>
              <a:schemeClr val="tx1"/>
            </a:solidFill>
            <a:effectLst/>
          </a:endParaRPr>
        </a:p>
        <a:p>
          <a:r>
            <a:rPr lang="en-US" sz="800" b="1" i="0" baseline="0">
              <a:solidFill>
                <a:schemeClr val="tx1"/>
              </a:solidFill>
              <a:effectLst/>
              <a:latin typeface="+mn-lt"/>
              <a:ea typeface="+mn-ea"/>
              <a:cs typeface="+mn-cs"/>
            </a:rPr>
            <a:t>PRE-INSIGHT</a:t>
          </a:r>
          <a:endParaRPr lang="en-NG" sz="800">
            <a:solidFill>
              <a:schemeClr val="tx1"/>
            </a:solidFill>
            <a:effectLst/>
          </a:endParaRPr>
        </a:p>
        <a:p>
          <a:r>
            <a:rPr lang="en-US" sz="800" b="1" i="0" baseline="0">
              <a:solidFill>
                <a:schemeClr val="tx1"/>
              </a:solidFill>
              <a:effectLst/>
              <a:latin typeface="+mn-lt"/>
              <a:ea typeface="+mn-ea"/>
              <a:cs typeface="+mn-cs"/>
            </a:rPr>
            <a:t>- </a:t>
          </a:r>
          <a:r>
            <a:rPr lang="en-US" sz="800" b="0" i="0" baseline="0">
              <a:solidFill>
                <a:schemeClr val="tx1"/>
              </a:solidFill>
              <a:effectLst/>
              <a:latin typeface="+mn-lt"/>
              <a:ea typeface="+mn-ea"/>
              <a:cs typeface="+mn-cs"/>
            </a:rPr>
            <a:t>The western region team should be recommended to go on a month training in the North focusing on  best  practices from the region.</a:t>
          </a:r>
        </a:p>
        <a:p>
          <a:r>
            <a:rPr lang="en-US" sz="800" b="0" i="0" baseline="0">
              <a:solidFill>
                <a:schemeClr val="tx1"/>
              </a:solidFill>
              <a:effectLst/>
              <a:latin typeface="+mn-lt"/>
              <a:ea typeface="+mn-ea"/>
              <a:cs typeface="+mn-cs"/>
            </a:rPr>
            <a:t>- Customer review platform should be part of Western region's website where customer's complaint/review be registered.</a:t>
          </a:r>
        </a:p>
        <a:p>
          <a:r>
            <a:rPr lang="en-US" sz="800" b="0" i="0" baseline="0">
              <a:solidFill>
                <a:schemeClr val="tx1"/>
              </a:solidFill>
              <a:effectLst/>
              <a:latin typeface="+mn-lt"/>
              <a:ea typeface="+mn-ea"/>
              <a:cs typeface="+mn-cs"/>
            </a:rPr>
            <a:t>- The Western region's account needs to be audited with immediate effect to be sure there is no misconduct or financial recklessnessin.</a:t>
          </a:r>
        </a:p>
        <a:p>
          <a:r>
            <a:rPr lang="en-US" sz="800" b="0" i="0">
              <a:solidFill>
                <a:schemeClr val="tx1"/>
              </a:solidFill>
              <a:effectLst/>
              <a:latin typeface="+mn-lt"/>
              <a:ea typeface="+mn-ea"/>
              <a:cs typeface="+mn-cs"/>
            </a:rPr>
            <a:t>- Sales distribution is uneven, with North making up a significant portion of total revenue, indicating region-specific strengths.</a:t>
          </a:r>
        </a:p>
        <a:p>
          <a:pPr marL="0" marR="0" lvl="0" indent="0" defTabSz="914400" eaLnBrk="1" fontAlgn="auto" latinLnBrk="0" hangingPunct="1">
            <a:lnSpc>
              <a:spcPct val="100000"/>
            </a:lnSpc>
            <a:spcBef>
              <a:spcPts val="0"/>
            </a:spcBef>
            <a:spcAft>
              <a:spcPts val="0"/>
            </a:spcAft>
            <a:buClrTx/>
            <a:buSzTx/>
            <a:buFontTx/>
            <a:buNone/>
            <a:tabLst/>
            <a:defRPr/>
          </a:pPr>
          <a:r>
            <a:rPr lang="en-US" sz="800" b="0" i="0">
              <a:solidFill>
                <a:schemeClr val="tx1"/>
              </a:solidFill>
              <a:effectLst/>
              <a:latin typeface="+mn-lt"/>
              <a:ea typeface="+mn-ea"/>
              <a:cs typeface="+mn-cs"/>
            </a:rPr>
            <a:t>There's a clear performance gap between North and West</a:t>
          </a:r>
          <a:r>
            <a:rPr lang="en-US" sz="800" b="0" i="0" baseline="0">
              <a:solidFill>
                <a:schemeClr val="tx1"/>
              </a:solidFill>
              <a:effectLst/>
              <a:latin typeface="+mn-lt"/>
              <a:ea typeface="+mn-ea"/>
              <a:cs typeface="+mn-cs"/>
            </a:rPr>
            <a:t>, </a:t>
          </a:r>
          <a:r>
            <a:rPr lang="en-US" sz="800" b="0" i="0">
              <a:solidFill>
                <a:schemeClr val="tx1"/>
              </a:solidFill>
              <a:effectLst/>
              <a:latin typeface="+mn-lt"/>
              <a:ea typeface="+mn-ea"/>
              <a:cs typeface="+mn-cs"/>
            </a:rPr>
            <a:t>North's total is over $50,000 more.</a:t>
          </a:r>
          <a:endParaRPr lang="en-NG" sz="800">
            <a:solidFill>
              <a:schemeClr val="tx1"/>
            </a:solidFill>
            <a:effectLst/>
          </a:endParaRPr>
        </a:p>
        <a:p>
          <a:endParaRPr lang="en-NG" sz="800">
            <a:solidFill>
              <a:schemeClr val="tx1"/>
            </a:solidFill>
            <a:effectLst/>
          </a:endParaRPr>
        </a:p>
      </xdr:txBody>
    </xdr:sp>
    <xdr:clientData/>
  </xdr:twoCellAnchor>
  <xdr:twoCellAnchor>
    <xdr:from>
      <xdr:col>0</xdr:col>
      <xdr:colOff>0</xdr:colOff>
      <xdr:row>18</xdr:row>
      <xdr:rowOff>167201</xdr:rowOff>
    </xdr:from>
    <xdr:to>
      <xdr:col>12</xdr:col>
      <xdr:colOff>146539</xdr:colOff>
      <xdr:row>35</xdr:row>
      <xdr:rowOff>15874</xdr:rowOff>
    </xdr:to>
    <xdr:sp macro="" textlink="">
      <xdr:nvSpPr>
        <xdr:cNvPr id="4" name="Rectangle: Rounded Corners 3">
          <a:extLst>
            <a:ext uri="{FF2B5EF4-FFF2-40B4-BE49-F238E27FC236}">
              <a16:creationId xmlns:a16="http://schemas.microsoft.com/office/drawing/2014/main" id="{58C0AAA2-D61F-47F4-B6FE-929A36CA5E32}"/>
            </a:ext>
          </a:extLst>
        </xdr:cNvPr>
        <xdr:cNvSpPr/>
      </xdr:nvSpPr>
      <xdr:spPr>
        <a:xfrm>
          <a:off x="0" y="3684124"/>
          <a:ext cx="7473462" cy="317021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b="1">
              <a:solidFill>
                <a:schemeClr val="tx1"/>
              </a:solidFill>
              <a:latin typeface="+mn-lt"/>
              <a:cs typeface="Arial" panose="020B0604020202020204" pitchFamily="34" charset="0"/>
            </a:rPr>
            <a:t>ANALYSIS - Sales</a:t>
          </a:r>
          <a:r>
            <a:rPr lang="en-US" sz="800" b="1" baseline="0">
              <a:solidFill>
                <a:schemeClr val="tx1"/>
              </a:solidFill>
              <a:latin typeface="+mn-lt"/>
              <a:cs typeface="Arial" panose="020B0604020202020204" pitchFamily="34" charset="0"/>
            </a:rPr>
            <a:t> by Rep</a:t>
          </a:r>
        </a:p>
        <a:p>
          <a:pPr algn="l"/>
          <a:endParaRPr lang="en-US" sz="800" b="1" baseline="0">
            <a:solidFill>
              <a:schemeClr val="tx1"/>
            </a:solidFill>
            <a:latin typeface="+mn-lt"/>
            <a:cs typeface="Arial" panose="020B0604020202020204" pitchFamily="34" charset="0"/>
          </a:endParaRPr>
        </a:p>
        <a:p>
          <a:pPr algn="l"/>
          <a:r>
            <a:rPr lang="en-US" sz="800" b="1" baseline="0">
              <a:solidFill>
                <a:schemeClr val="tx1"/>
              </a:solidFill>
              <a:latin typeface="+mn-lt"/>
              <a:cs typeface="Arial" panose="020B0604020202020204" pitchFamily="34" charset="0"/>
            </a:rPr>
            <a:t>OBSERVATION</a:t>
          </a:r>
        </a:p>
        <a:p>
          <a:pPr algn="l"/>
          <a:r>
            <a:rPr lang="en-US" sz="800" b="0" baseline="0">
              <a:solidFill>
                <a:schemeClr val="tx1"/>
              </a:solidFill>
              <a:latin typeface="+mn-lt"/>
              <a:cs typeface="Arial" panose="020B0604020202020204" pitchFamily="34" charset="0"/>
            </a:rPr>
            <a:t>-  </a:t>
          </a:r>
          <a:r>
            <a:rPr lang="en-US" sz="800" b="0" i="0" u="none" strike="noStrike">
              <a:solidFill>
                <a:schemeClr val="tx1"/>
              </a:solidFill>
              <a:effectLst/>
              <a:latin typeface="+mn-lt"/>
              <a:ea typeface="+mn-ea"/>
              <a:cs typeface="+mn-cs"/>
            </a:rPr>
            <a:t>Nancy Freehafer</a:t>
          </a:r>
          <a:r>
            <a:rPr lang="en-US" sz="800" b="0">
              <a:solidFill>
                <a:schemeClr val="tx1"/>
              </a:solidFill>
            </a:rPr>
            <a:t> top</a:t>
          </a:r>
          <a:r>
            <a:rPr lang="en-US" sz="800" b="0" baseline="0">
              <a:solidFill>
                <a:schemeClr val="tx1"/>
              </a:solidFill>
            </a:rPr>
            <a:t> the charts by generating  total revenue of </a:t>
          </a:r>
          <a:r>
            <a:rPr lang="en-US" sz="800" b="0" i="0" u="none" strike="noStrike">
              <a:solidFill>
                <a:schemeClr val="tx1"/>
              </a:solidFill>
              <a:effectLst/>
              <a:latin typeface="+mn-lt"/>
              <a:ea typeface="+mn-ea"/>
              <a:cs typeface="+mn-cs"/>
            </a:rPr>
            <a:t>$104,252.34</a:t>
          </a:r>
          <a:r>
            <a:rPr lang="en-US" sz="800" b="0" i="0" u="none" strike="noStrike" baseline="0">
              <a:solidFill>
                <a:schemeClr val="tx1"/>
              </a:solidFill>
              <a:effectLst/>
              <a:latin typeface="+mn-lt"/>
              <a:ea typeface="+mn-ea"/>
              <a:cs typeface="+mn-cs"/>
            </a:rPr>
            <a:t> for the years</a:t>
          </a:r>
        </a:p>
        <a:p>
          <a:pPr algn="l"/>
          <a:r>
            <a:rPr lang="en-US" sz="800" b="0" i="0" u="none" strike="noStrike" baseline="0">
              <a:solidFill>
                <a:schemeClr val="tx1"/>
              </a:solidFill>
              <a:effectLst/>
              <a:latin typeface="+mn-lt"/>
              <a:ea typeface="+mn-ea"/>
              <a:cs typeface="+mn-cs"/>
            </a:rPr>
            <a:t>- Anne Larsen also shows strong performance with $93,858.33, placing her solidly in second.</a:t>
          </a:r>
        </a:p>
        <a:p>
          <a:pPr algn="l"/>
          <a:r>
            <a:rPr lang="en-US" sz="800" b="0" i="0" u="none" strike="noStrike" baseline="0">
              <a:solidFill>
                <a:schemeClr val="tx1"/>
              </a:solidFill>
              <a:effectLst/>
              <a:latin typeface="+mn-lt"/>
              <a:ea typeface="+mn-ea"/>
              <a:cs typeface="+mn-cs"/>
            </a:rPr>
            <a:t>- There’s a steep drop-off after Andrew Cencini $67,180.50, indicating a large performance gap among the top three and the rest.</a:t>
          </a:r>
        </a:p>
        <a:p>
          <a:pPr marL="0" marR="0" lvl="0" indent="0" algn="l" defTabSz="914400" eaLnBrk="1" fontAlgn="auto" latinLnBrk="0" hangingPunct="1">
            <a:lnSpc>
              <a:spcPct val="100000"/>
            </a:lnSpc>
            <a:spcBef>
              <a:spcPts val="0"/>
            </a:spcBef>
            <a:spcAft>
              <a:spcPts val="0"/>
            </a:spcAft>
            <a:buClrTx/>
            <a:buSzTx/>
            <a:buFontTx/>
            <a:buNone/>
            <a:tabLst/>
            <a:defRPr/>
          </a:pPr>
          <a:r>
            <a:rPr lang="en-US" sz="800" b="0" i="0" u="none" strike="noStrike" baseline="0">
              <a:solidFill>
                <a:schemeClr val="tx1"/>
              </a:solidFill>
              <a:effectLst/>
              <a:latin typeface="+mn-lt"/>
              <a:ea typeface="+mn-ea"/>
              <a:cs typeface="+mn-cs"/>
            </a:rPr>
            <a:t>- Laura Giussani, and Michael Neipper form a mid-tier group around </a:t>
          </a:r>
          <a:r>
            <a:rPr lang="en-NG" sz="800" b="0" i="0" u="none" strike="noStrike">
              <a:solidFill>
                <a:schemeClr val="tx1"/>
              </a:solidFill>
              <a:effectLst/>
              <a:latin typeface="+mn-lt"/>
              <a:ea typeface="+mn-ea"/>
              <a:cs typeface="+mn-cs"/>
            </a:rPr>
            <a:t>$41,095.01</a:t>
          </a:r>
          <a:r>
            <a:rPr lang="en-US" sz="800" b="0" i="0" u="none" strike="noStrike">
              <a:solidFill>
                <a:schemeClr val="tx1"/>
              </a:solidFill>
              <a:effectLst/>
              <a:latin typeface="+mn-lt"/>
              <a:ea typeface="+mn-ea"/>
              <a:cs typeface="+mn-cs"/>
            </a:rPr>
            <a:t> -</a:t>
          </a:r>
          <a:r>
            <a:rPr lang="en-NG" sz="800">
              <a:solidFill>
                <a:schemeClr val="tx1"/>
              </a:solidFill>
            </a:rPr>
            <a:t> </a:t>
          </a:r>
          <a:r>
            <a:rPr lang="en-NG" sz="800" b="0" i="0" u="none" strike="noStrike">
              <a:solidFill>
                <a:schemeClr val="tx1"/>
              </a:solidFill>
              <a:effectLst/>
              <a:latin typeface="+mn-lt"/>
              <a:ea typeface="+mn-ea"/>
              <a:cs typeface="+mn-cs"/>
            </a:rPr>
            <a:t>$37,428.00</a:t>
          </a:r>
          <a:r>
            <a:rPr lang="en-US" sz="800" b="0" i="0" u="none" strike="noStrike" baseline="0">
              <a:solidFill>
                <a:schemeClr val="tx1"/>
              </a:solidFill>
              <a:effectLst/>
              <a:latin typeface="+mn-lt"/>
              <a:ea typeface="+mn-ea"/>
              <a:cs typeface="+mn-cs"/>
            </a:rPr>
            <a:t>.</a:t>
          </a:r>
          <a:br>
            <a:rPr lang="en-US" sz="800" b="0" i="0" u="none" strike="noStrike" baseline="0">
              <a:solidFill>
                <a:schemeClr val="tx1"/>
              </a:solidFill>
              <a:effectLst/>
              <a:latin typeface="+mn-lt"/>
              <a:ea typeface="+mn-ea"/>
              <a:cs typeface="+mn-cs"/>
            </a:rPr>
          </a:br>
          <a:r>
            <a:rPr lang="en-US" sz="800" b="0" i="0" baseline="0">
              <a:solidFill>
                <a:schemeClr val="tx1"/>
              </a:solidFill>
              <a:effectLst/>
              <a:latin typeface="+mn-lt"/>
              <a:ea typeface="+mn-ea"/>
              <a:cs typeface="+mn-cs"/>
            </a:rPr>
            <a:t>- The bottom three reps Michael Neipper, Robert Zare, and Jan Kotas, all generated under $40,000. </a:t>
          </a:r>
          <a:endParaRPr lang="en-US" sz="800" b="0" i="0" u="none" strike="noStrike" baseline="0">
            <a:solidFill>
              <a:schemeClr val="tx1"/>
            </a:solidFill>
            <a:effectLst/>
            <a:latin typeface="+mn-lt"/>
            <a:ea typeface="+mn-ea"/>
            <a:cs typeface="+mn-cs"/>
          </a:endParaRPr>
        </a:p>
        <a:p>
          <a:pPr algn="l"/>
          <a:r>
            <a:rPr lang="en-US" sz="800" b="0" i="0" u="none" strike="noStrike" baseline="0">
              <a:solidFill>
                <a:schemeClr val="tx1"/>
              </a:solidFill>
              <a:effectLst/>
              <a:latin typeface="+mn-lt"/>
              <a:ea typeface="+mn-ea"/>
              <a:cs typeface="+mn-cs"/>
            </a:rPr>
            <a:t>- Jan reported the lowest revenue at $16, 350.50.</a:t>
          </a:r>
        </a:p>
        <a:p>
          <a:pPr algn="l"/>
          <a:endParaRPr lang="en-US" sz="800" b="0" i="0" u="none" strike="noStrike" baseline="0">
            <a:solidFill>
              <a:schemeClr val="tx1"/>
            </a:solidFill>
            <a:effectLst/>
            <a:latin typeface="+mn-lt"/>
            <a:ea typeface="+mn-ea"/>
            <a:cs typeface="+mn-cs"/>
          </a:endParaRPr>
        </a:p>
        <a:p>
          <a:pPr algn="l"/>
          <a:endParaRPr lang="en-US" sz="800" b="0" i="0" u="none" strike="noStrike" baseline="0">
            <a:solidFill>
              <a:schemeClr val="tx1"/>
            </a:solidFill>
            <a:effectLst/>
            <a:latin typeface="+mn-lt"/>
            <a:ea typeface="+mn-ea"/>
            <a:cs typeface="+mn-cs"/>
          </a:endParaRPr>
        </a:p>
        <a:p>
          <a:pPr algn="l"/>
          <a:r>
            <a:rPr lang="en-US" sz="800" b="1" i="0" u="none" strike="noStrike" baseline="0">
              <a:solidFill>
                <a:schemeClr val="tx1"/>
              </a:solidFill>
              <a:effectLst/>
              <a:latin typeface="+mn-lt"/>
              <a:ea typeface="+mn-ea"/>
              <a:cs typeface="+mn-cs"/>
            </a:rPr>
            <a:t>PRE-INSIGHT</a:t>
          </a:r>
        </a:p>
        <a:p>
          <a:pPr algn="l"/>
          <a:endParaRPr lang="en-US" sz="800" b="1" i="0" u="none" strike="noStrike" baseline="0">
            <a:solidFill>
              <a:schemeClr val="tx1"/>
            </a:solidFill>
            <a:effectLst/>
            <a:latin typeface="+mn-lt"/>
            <a:ea typeface="+mn-ea"/>
            <a:cs typeface="+mn-cs"/>
          </a:endParaRPr>
        </a:p>
        <a:p>
          <a:pPr algn="l"/>
          <a:r>
            <a:rPr lang="en-US" sz="800" b="0" i="0" u="none" strike="noStrike" baseline="0">
              <a:solidFill>
                <a:schemeClr val="tx1"/>
              </a:solidFill>
              <a:effectLst/>
              <a:latin typeface="+mn-lt"/>
              <a:ea typeface="+mn-ea"/>
              <a:cs typeface="+mn-cs"/>
            </a:rPr>
            <a:t>- Due to the poor performance from Jan, I suggested he should be suspended or recommended to take refresher course training in marketing in other for improvement.</a:t>
          </a:r>
        </a:p>
        <a:p>
          <a:pPr algn="l"/>
          <a:r>
            <a:rPr lang="en-US" sz="800" b="0" i="0" u="none" strike="noStrike" baseline="0">
              <a:solidFill>
                <a:schemeClr val="tx1"/>
              </a:solidFill>
              <a:effectLst/>
              <a:latin typeface="+mn-lt"/>
              <a:ea typeface="+mn-ea"/>
              <a:cs typeface="+mn-cs"/>
            </a:rPr>
            <a:t>- Nancy and Anne’s methods could be used to train or inspire others.</a:t>
          </a:r>
        </a:p>
        <a:p>
          <a:pPr algn="l"/>
          <a:r>
            <a:rPr lang="en-US" sz="800" b="0" i="0" u="none" strike="noStrike" baseline="0">
              <a:solidFill>
                <a:schemeClr val="tx1"/>
              </a:solidFill>
              <a:effectLst/>
              <a:latin typeface="+mn-lt"/>
              <a:ea typeface="+mn-ea"/>
              <a:cs typeface="+mn-cs"/>
            </a:rPr>
            <a:t>-  The top 3 salespersons made over 6x what the lowest did, indicating uneven productivity across reps.</a:t>
          </a:r>
          <a:endParaRPr lang="en-US" sz="800" b="0" baseline="0">
            <a:solidFill>
              <a:schemeClr val="tx1"/>
            </a:solidFill>
            <a:latin typeface="+mn-lt"/>
            <a:cs typeface="Arial" panose="020B0604020202020204" pitchFamily="34" charset="0"/>
          </a:endParaRPr>
        </a:p>
      </xdr:txBody>
    </xdr:sp>
    <xdr:clientData/>
  </xdr:twoCellAnchor>
  <xdr:twoCellAnchor>
    <xdr:from>
      <xdr:col>0</xdr:col>
      <xdr:colOff>1</xdr:colOff>
      <xdr:row>0</xdr:row>
      <xdr:rowOff>1</xdr:rowOff>
    </xdr:from>
    <xdr:to>
      <xdr:col>12</xdr:col>
      <xdr:colOff>121397</xdr:colOff>
      <xdr:row>17</xdr:row>
      <xdr:rowOff>130735</xdr:rowOff>
    </xdr:to>
    <xdr:sp macro="" textlink="">
      <xdr:nvSpPr>
        <xdr:cNvPr id="6" name="Rectangle: Rounded Corners 5">
          <a:extLst>
            <a:ext uri="{FF2B5EF4-FFF2-40B4-BE49-F238E27FC236}">
              <a16:creationId xmlns:a16="http://schemas.microsoft.com/office/drawing/2014/main" id="{CF010F51-46C9-014B-4146-86B7FE95363A}"/>
            </a:ext>
          </a:extLst>
        </xdr:cNvPr>
        <xdr:cNvSpPr/>
      </xdr:nvSpPr>
      <xdr:spPr>
        <a:xfrm>
          <a:off x="1" y="1"/>
          <a:ext cx="7405220" cy="3305734"/>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800" b="1">
              <a:solidFill>
                <a:schemeClr val="bg1"/>
              </a:solidFill>
              <a:effectLst/>
              <a:latin typeface="+mn-lt"/>
              <a:ea typeface="+mn-ea"/>
              <a:cs typeface="+mn-cs"/>
            </a:rPr>
            <a:t>ANALYSIS - Top</a:t>
          </a:r>
          <a:r>
            <a:rPr lang="en-US" sz="800" b="1" baseline="0">
              <a:solidFill>
                <a:schemeClr val="bg1"/>
              </a:solidFill>
              <a:effectLst/>
              <a:latin typeface="+mn-lt"/>
              <a:ea typeface="+mn-ea"/>
              <a:cs typeface="+mn-cs"/>
            </a:rPr>
            <a:t> 10 Customers</a:t>
          </a:r>
        </a:p>
        <a:p>
          <a:endParaRPr lang="en-NG" sz="800">
            <a:solidFill>
              <a:schemeClr val="bg1"/>
            </a:solidFill>
            <a:effectLst/>
          </a:endParaRPr>
        </a:p>
        <a:p>
          <a:r>
            <a:rPr lang="en-US" sz="800" b="1" baseline="0">
              <a:solidFill>
                <a:schemeClr val="bg1"/>
              </a:solidFill>
              <a:effectLst/>
              <a:latin typeface="+mn-lt"/>
              <a:ea typeface="+mn-ea"/>
              <a:cs typeface="+mn-cs"/>
            </a:rPr>
            <a:t>OBSERVATION</a:t>
          </a:r>
          <a:endParaRPr lang="en-NG" sz="800">
            <a:solidFill>
              <a:schemeClr val="bg1"/>
            </a:solidFill>
            <a:effectLst/>
          </a:endParaRPr>
        </a:p>
        <a:p>
          <a:r>
            <a:rPr lang="en-US" sz="800" b="0" i="0" u="none" strike="noStrike">
              <a:solidFill>
                <a:schemeClr val="bg1"/>
              </a:solidFill>
              <a:effectLst/>
              <a:latin typeface="+mn-lt"/>
              <a:ea typeface="+mn-ea"/>
              <a:cs typeface="+mn-cs"/>
            </a:rPr>
            <a:t>- Company D is the top customer, generating $67,180.50 in revenue.</a:t>
          </a:r>
          <a:r>
            <a:rPr lang="en-US" sz="800" b="0">
              <a:solidFill>
                <a:schemeClr val="bg1"/>
              </a:solidFill>
            </a:rPr>
            <a:t> </a:t>
          </a:r>
          <a:br>
            <a:rPr lang="en-US" sz="800" b="0">
              <a:solidFill>
                <a:schemeClr val="bg1"/>
              </a:solidFill>
            </a:rPr>
          </a:br>
          <a:r>
            <a:rPr lang="en-US" sz="800" b="0" i="0" u="none" strike="noStrike">
              <a:solidFill>
                <a:schemeClr val="bg1"/>
              </a:solidFill>
              <a:effectLst/>
              <a:latin typeface="+mn-lt"/>
              <a:ea typeface="+mn-ea"/>
              <a:cs typeface="+mn-cs"/>
            </a:rPr>
            <a:t>-</a:t>
          </a:r>
          <a:r>
            <a:rPr lang="en-US" sz="800" b="0" i="0" u="none" strike="noStrike" baseline="0">
              <a:solidFill>
                <a:schemeClr val="bg1"/>
              </a:solidFill>
              <a:effectLst/>
              <a:latin typeface="+mn-lt"/>
              <a:ea typeface="+mn-ea"/>
              <a:cs typeface="+mn-cs"/>
            </a:rPr>
            <a:t> </a:t>
          </a:r>
          <a:r>
            <a:rPr lang="en-US" sz="800" b="0" i="0" u="none" strike="noStrike">
              <a:solidFill>
                <a:schemeClr val="bg1"/>
              </a:solidFill>
              <a:effectLst/>
              <a:latin typeface="+mn-lt"/>
              <a:ea typeface="+mn-ea"/>
              <a:cs typeface="+mn-cs"/>
            </a:rPr>
            <a:t>Company H follows at $50,208.35, showing a significant gap from the top.</a:t>
          </a:r>
          <a:r>
            <a:rPr lang="en-US" sz="800" b="0">
              <a:solidFill>
                <a:schemeClr val="bg1"/>
              </a:solidFill>
            </a:rPr>
            <a:t> </a:t>
          </a:r>
          <a:br>
            <a:rPr lang="en-US" sz="800" b="0">
              <a:solidFill>
                <a:schemeClr val="bg1"/>
              </a:solidFill>
            </a:rPr>
          </a:br>
          <a:r>
            <a:rPr lang="en-US" sz="800" b="0" i="0" u="none" strike="noStrike">
              <a:solidFill>
                <a:schemeClr val="bg1"/>
              </a:solidFill>
              <a:effectLst/>
              <a:latin typeface="+mn-lt"/>
              <a:ea typeface="+mn-ea"/>
              <a:cs typeface="+mn-cs"/>
            </a:rPr>
            <a:t>-</a:t>
          </a:r>
          <a:r>
            <a:rPr lang="en-US" sz="800" b="0" i="0" u="none" strike="noStrike" baseline="0">
              <a:solidFill>
                <a:schemeClr val="bg1"/>
              </a:solidFill>
              <a:effectLst/>
              <a:latin typeface="+mn-lt"/>
              <a:ea typeface="+mn-ea"/>
              <a:cs typeface="+mn-cs"/>
            </a:rPr>
            <a:t> </a:t>
          </a:r>
          <a:r>
            <a:rPr lang="en-US" sz="800" b="0" i="0" u="none" strike="noStrike">
              <a:solidFill>
                <a:schemeClr val="bg1"/>
              </a:solidFill>
              <a:effectLst/>
              <a:latin typeface="+mn-lt"/>
              <a:ea typeface="+mn-ea"/>
              <a:cs typeface="+mn-cs"/>
            </a:rPr>
            <a:t>Company BB ranks third with $43,713.00.</a:t>
          </a:r>
          <a:r>
            <a:rPr lang="en-US" sz="800" b="0">
              <a:solidFill>
                <a:schemeClr val="bg1"/>
              </a:solidFill>
            </a:rPr>
            <a:t> </a:t>
          </a:r>
          <a:br>
            <a:rPr lang="en-US" sz="800" b="0">
              <a:solidFill>
                <a:schemeClr val="bg1"/>
              </a:solidFill>
            </a:rPr>
          </a:br>
          <a:r>
            <a:rPr lang="en-US" sz="800" b="0" i="0" u="none" strike="noStrike">
              <a:solidFill>
                <a:schemeClr val="bg1"/>
              </a:solidFill>
              <a:effectLst/>
              <a:latin typeface="+mn-lt"/>
              <a:ea typeface="+mn-ea"/>
              <a:cs typeface="+mn-cs"/>
            </a:rPr>
            <a:t>-</a:t>
          </a:r>
          <a:r>
            <a:rPr lang="en-US" sz="800" b="0" i="0" u="none" strike="noStrike" baseline="0">
              <a:solidFill>
                <a:schemeClr val="bg1"/>
              </a:solidFill>
              <a:effectLst/>
              <a:latin typeface="+mn-lt"/>
              <a:ea typeface="+mn-ea"/>
              <a:cs typeface="+mn-cs"/>
            </a:rPr>
            <a:t> </a:t>
          </a:r>
          <a:r>
            <a:rPr lang="en-US" sz="800" b="0" i="0" u="none" strike="noStrike">
              <a:solidFill>
                <a:schemeClr val="bg1"/>
              </a:solidFill>
              <a:effectLst/>
              <a:latin typeface="+mn-lt"/>
              <a:ea typeface="+mn-ea"/>
              <a:cs typeface="+mn-cs"/>
            </a:rPr>
            <a:t>There is no much difference</a:t>
          </a:r>
          <a:r>
            <a:rPr lang="en-US" sz="800" b="0" i="0" u="none" strike="noStrike" baseline="0">
              <a:solidFill>
                <a:schemeClr val="bg1"/>
              </a:solidFill>
              <a:effectLst/>
              <a:latin typeface="+mn-lt"/>
              <a:ea typeface="+mn-ea"/>
              <a:cs typeface="+mn-cs"/>
            </a:rPr>
            <a:t> between </a:t>
          </a:r>
          <a:r>
            <a:rPr lang="en-US" sz="800" b="0" i="0" u="none" strike="noStrike">
              <a:solidFill>
                <a:schemeClr val="bg1"/>
              </a:solidFill>
              <a:effectLst/>
              <a:latin typeface="+mn-lt"/>
              <a:ea typeface="+mn-ea"/>
              <a:cs typeface="+mn-cs"/>
            </a:rPr>
            <a:t>Company F and Company A as</a:t>
          </a:r>
          <a:r>
            <a:rPr lang="en-US" sz="800" b="0" i="0" u="none" strike="noStrike" baseline="0">
              <a:solidFill>
                <a:schemeClr val="bg1"/>
              </a:solidFill>
              <a:effectLst/>
              <a:latin typeface="+mn-lt"/>
              <a:ea typeface="+mn-ea"/>
              <a:cs typeface="+mn-cs"/>
            </a:rPr>
            <a:t> they are both</a:t>
          </a:r>
          <a:r>
            <a:rPr lang="en-US" sz="800" b="0" i="0" u="none" strike="noStrike">
              <a:solidFill>
                <a:schemeClr val="bg1"/>
              </a:solidFill>
              <a:effectLst/>
              <a:latin typeface="+mn-lt"/>
              <a:ea typeface="+mn-ea"/>
              <a:cs typeface="+mn-cs"/>
            </a:rPr>
            <a:t> closely matched, contributing $37,428.00 and $36,839.99, respectively.</a:t>
          </a:r>
          <a:r>
            <a:rPr lang="en-US" sz="800" b="0">
              <a:solidFill>
                <a:schemeClr val="bg1"/>
              </a:solidFill>
            </a:rPr>
            <a:t> </a:t>
          </a:r>
          <a:br>
            <a:rPr lang="en-US" sz="800" b="0">
              <a:solidFill>
                <a:schemeClr val="bg1"/>
              </a:solidFill>
            </a:rPr>
          </a:br>
          <a:r>
            <a:rPr lang="en-US" sz="800" b="0" i="0" u="none" strike="noStrike">
              <a:solidFill>
                <a:schemeClr val="bg1"/>
              </a:solidFill>
              <a:effectLst/>
              <a:latin typeface="+mn-lt"/>
              <a:ea typeface="+mn-ea"/>
              <a:cs typeface="+mn-cs"/>
            </a:rPr>
            <a:t>- Company I holds sixth place with $32,530.60.</a:t>
          </a:r>
          <a:r>
            <a:rPr lang="en-US" sz="800" b="0">
              <a:solidFill>
                <a:schemeClr val="bg1"/>
              </a:solidFill>
            </a:rPr>
            <a:t> </a:t>
          </a:r>
          <a:br>
            <a:rPr lang="en-US" sz="800" b="0">
              <a:solidFill>
                <a:schemeClr val="bg1"/>
              </a:solidFill>
            </a:rPr>
          </a:br>
          <a:r>
            <a:rPr lang="en-US" sz="800" b="0" i="0" u="none" strike="noStrike">
              <a:solidFill>
                <a:schemeClr val="bg1"/>
              </a:solidFill>
              <a:effectLst/>
              <a:latin typeface="+mn-lt"/>
              <a:ea typeface="+mn-ea"/>
              <a:cs typeface="+mn-cs"/>
            </a:rPr>
            <a:t>- Revenues from Company J and Company Z are quite similar, at $29,133.01 and $28,208.25.</a:t>
          </a:r>
          <a:r>
            <a:rPr lang="en-US" sz="800" b="0">
              <a:solidFill>
                <a:schemeClr val="bg1"/>
              </a:solidFill>
            </a:rPr>
            <a:t> </a:t>
          </a:r>
          <a:br>
            <a:rPr lang="en-US" sz="800" b="0">
              <a:solidFill>
                <a:schemeClr val="bg1"/>
              </a:solidFill>
            </a:rPr>
          </a:br>
          <a:r>
            <a:rPr lang="en-US" sz="800" b="0" i="0" u="none" strike="noStrike">
              <a:solidFill>
                <a:schemeClr val="bg1"/>
              </a:solidFill>
              <a:effectLst/>
              <a:latin typeface="+mn-lt"/>
              <a:ea typeface="+mn-ea"/>
              <a:cs typeface="+mn-cs"/>
            </a:rPr>
            <a:t>- Company C provides $27,005.38, securing ninth position.</a:t>
          </a:r>
          <a:r>
            <a:rPr lang="en-US" sz="800" b="0">
              <a:solidFill>
                <a:schemeClr val="bg1"/>
              </a:solidFill>
            </a:rPr>
            <a:t> </a:t>
          </a:r>
          <a:br>
            <a:rPr lang="en-US" sz="800" b="0">
              <a:solidFill>
                <a:schemeClr val="bg1"/>
              </a:solidFill>
            </a:rPr>
          </a:br>
          <a:r>
            <a:rPr lang="en-US" sz="800" b="0" i="0" u="none" strike="noStrike">
              <a:solidFill>
                <a:schemeClr val="bg1"/>
              </a:solidFill>
              <a:effectLst/>
              <a:latin typeface="+mn-lt"/>
              <a:ea typeface="+mn-ea"/>
              <a:cs typeface="+mn-cs"/>
            </a:rPr>
            <a:t>- Company K, the tenth on the list, generates $21,937.08</a:t>
          </a:r>
          <a:r>
            <a:rPr lang="en-US" sz="800" b="0" i="0" u="none" strike="noStrike" baseline="0">
              <a:solidFill>
                <a:schemeClr val="bg1"/>
              </a:solidFill>
              <a:effectLst/>
              <a:latin typeface="+mn-lt"/>
              <a:ea typeface="+mn-ea"/>
              <a:cs typeface="+mn-cs"/>
            </a:rPr>
            <a:t> </a:t>
          </a:r>
          <a:r>
            <a:rPr lang="en-US" sz="800" b="0" i="0" u="none" strike="noStrike">
              <a:solidFill>
                <a:schemeClr val="bg1"/>
              </a:solidFill>
              <a:effectLst/>
              <a:latin typeface="+mn-lt"/>
              <a:ea typeface="+mn-ea"/>
              <a:cs typeface="+mn-cs"/>
            </a:rPr>
            <a:t>less than one-third of Company D’s contribution.</a:t>
          </a:r>
          <a:r>
            <a:rPr lang="en-US" sz="800" b="0">
              <a:solidFill>
                <a:schemeClr val="bg1"/>
              </a:solidFill>
            </a:rPr>
            <a:t>  </a:t>
          </a:r>
          <a:r>
            <a:rPr lang="en-US" sz="800" b="0" i="0" baseline="0">
              <a:solidFill>
                <a:schemeClr val="bg1"/>
              </a:solidFill>
              <a:effectLst/>
              <a:latin typeface="+mn-lt"/>
              <a:ea typeface="+mn-ea"/>
              <a:cs typeface="+mn-cs"/>
            </a:rPr>
            <a:t> </a:t>
          </a:r>
        </a:p>
        <a:p>
          <a:endParaRPr lang="en-US" sz="800" b="0" i="0" baseline="0">
            <a:solidFill>
              <a:schemeClr val="bg1"/>
            </a:solidFill>
            <a:effectLst/>
            <a:latin typeface="+mn-lt"/>
            <a:ea typeface="+mn-ea"/>
            <a:cs typeface="+mn-cs"/>
          </a:endParaRPr>
        </a:p>
        <a:p>
          <a:endParaRPr lang="en-NG" sz="800">
            <a:solidFill>
              <a:schemeClr val="bg1"/>
            </a:solidFill>
            <a:effectLst/>
          </a:endParaRPr>
        </a:p>
        <a:p>
          <a:r>
            <a:rPr lang="en-US" sz="800" b="1" i="0" baseline="0">
              <a:solidFill>
                <a:schemeClr val="bg1"/>
              </a:solidFill>
              <a:effectLst/>
              <a:latin typeface="+mn-lt"/>
              <a:ea typeface="+mn-ea"/>
              <a:cs typeface="+mn-cs"/>
            </a:rPr>
            <a:t>PRE-INSIGHT</a:t>
          </a:r>
          <a:endParaRPr lang="en-NG" sz="800">
            <a:solidFill>
              <a:schemeClr val="bg1"/>
            </a:solidFill>
            <a:effectLst/>
          </a:endParaRPr>
        </a:p>
        <a:p>
          <a:r>
            <a:rPr lang="en-US" sz="800" b="1" i="0" baseline="0">
              <a:solidFill>
                <a:schemeClr val="bg1"/>
              </a:solidFill>
              <a:effectLst/>
              <a:latin typeface="+mn-lt"/>
              <a:ea typeface="+mn-ea"/>
              <a:cs typeface="+mn-cs"/>
            </a:rPr>
            <a:t>- </a:t>
          </a:r>
          <a:r>
            <a:rPr lang="en-US" sz="800" b="0" i="0" baseline="0">
              <a:solidFill>
                <a:schemeClr val="bg1"/>
              </a:solidFill>
              <a:effectLst/>
              <a:latin typeface="+mn-lt"/>
              <a:ea typeface="+mn-ea"/>
              <a:cs typeface="+mn-cs"/>
            </a:rPr>
            <a:t>A large portion of total revenue is driven by just a few top clients, with Company D leading noticeably.</a:t>
          </a:r>
          <a:br>
            <a:rPr lang="en-US" sz="800" b="1" i="0" baseline="0">
              <a:solidFill>
                <a:schemeClr val="bg1"/>
              </a:solidFill>
              <a:effectLst/>
              <a:latin typeface="+mn-lt"/>
              <a:ea typeface="+mn-ea"/>
              <a:cs typeface="+mn-cs"/>
            </a:rPr>
          </a:br>
          <a:r>
            <a:rPr lang="en-US" sz="800" b="1" i="0" baseline="0">
              <a:solidFill>
                <a:schemeClr val="bg1"/>
              </a:solidFill>
              <a:effectLst/>
              <a:latin typeface="+mn-lt"/>
              <a:ea typeface="+mn-ea"/>
              <a:cs typeface="+mn-cs"/>
            </a:rPr>
            <a:t>- </a:t>
          </a:r>
          <a:r>
            <a:rPr lang="en-US" sz="800" b="0" i="0" baseline="0">
              <a:solidFill>
                <a:schemeClr val="bg1"/>
              </a:solidFill>
              <a:effectLst/>
              <a:latin typeface="+mn-lt"/>
              <a:ea typeface="+mn-ea"/>
              <a:cs typeface="+mn-cs"/>
            </a:rPr>
            <a:t>There's a wide revenue gap between the first under comapny D and tenth-ranked customer under company K, indicating uneven client value.</a:t>
          </a:r>
        </a:p>
        <a:p>
          <a:r>
            <a:rPr lang="en-US" sz="800" b="0" i="0" baseline="0">
              <a:solidFill>
                <a:schemeClr val="bg1"/>
              </a:solidFill>
              <a:effectLst/>
              <a:latin typeface="+mn-lt"/>
              <a:ea typeface="+mn-ea"/>
              <a:cs typeface="+mn-cs"/>
            </a:rPr>
            <a:t>- Company D’s dominance suggests potential business risk if that relationship changes.</a:t>
          </a:r>
        </a:p>
        <a:p>
          <a:r>
            <a:rPr lang="en-US" sz="800" b="0" i="0" baseline="0">
              <a:solidFill>
                <a:schemeClr val="bg1"/>
              </a:solidFill>
              <a:effectLst/>
              <a:latin typeface="+mn-lt"/>
              <a:ea typeface="+mn-ea"/>
              <a:cs typeface="+mn-cs"/>
            </a:rPr>
            <a:t>- Big customers matter most as company D brings in the most money, way more than the others.</a:t>
          </a:r>
        </a:p>
        <a:p>
          <a:r>
            <a:rPr lang="en-US" sz="800" b="0" i="0" baseline="0">
              <a:solidFill>
                <a:schemeClr val="bg1"/>
              </a:solidFill>
              <a:effectLst/>
              <a:latin typeface="+mn-lt"/>
              <a:ea typeface="+mn-ea"/>
              <a:cs typeface="+mn-cs"/>
            </a:rPr>
            <a:t>- Focus should be place on high earning clients like Company D, H and BB with dedicated account management.</a:t>
          </a:r>
        </a:p>
        <a:p>
          <a:r>
            <a:rPr lang="en-US" sz="800" b="0" i="0" baseline="0">
              <a:solidFill>
                <a:schemeClr val="bg1"/>
              </a:solidFill>
              <a:effectLst/>
              <a:latin typeface="+mn-lt"/>
              <a:ea typeface="+mn-ea"/>
              <a:cs typeface="+mn-cs"/>
            </a:rPr>
            <a:t>- Company A, F and I needs to enhance their marketing strategies and customer engagement for better outcome.</a:t>
          </a:r>
        </a:p>
        <a:p>
          <a:r>
            <a:rPr lang="en-US" sz="800" b="0">
              <a:solidFill>
                <a:schemeClr val="bg1"/>
              </a:solidFill>
              <a:effectLst/>
            </a:rPr>
            <a:t>- There is </a:t>
          </a:r>
          <a:r>
            <a:rPr lang="en-US" sz="800" b="0" baseline="0">
              <a:solidFill>
                <a:schemeClr val="bg1"/>
              </a:solidFill>
              <a:effectLst/>
            </a:rPr>
            <a:t>need to s</a:t>
          </a:r>
          <a:r>
            <a:rPr lang="en-US" sz="800" b="0">
              <a:solidFill>
                <a:schemeClr val="bg1"/>
              </a:solidFill>
              <a:effectLst/>
            </a:rPr>
            <a:t>et revenue goals target and monitor progress monthly for company K, C, J, Z as they</a:t>
          </a:r>
          <a:r>
            <a:rPr lang="en-US" sz="800" b="0" baseline="0">
              <a:solidFill>
                <a:schemeClr val="bg1"/>
              </a:solidFill>
              <a:effectLst/>
            </a:rPr>
            <a:t> all performed poorly  by generating less than $30,000</a:t>
          </a:r>
          <a:r>
            <a:rPr lang="en-US" sz="800" b="0">
              <a:solidFill>
                <a:schemeClr val="bg1"/>
              </a:solidFill>
              <a:effectLst/>
            </a:rPr>
            <a:t>.</a:t>
          </a:r>
          <a:endParaRPr lang="en-NG" sz="800" b="0">
            <a:solidFill>
              <a:schemeClr val="bg1"/>
            </a:solidFill>
            <a:effectLst/>
          </a:endParaRPr>
        </a:p>
      </xdr:txBody>
    </xdr:sp>
    <xdr:clientData/>
  </xdr:twoCellAnchor>
  <xdr:twoCellAnchor>
    <xdr:from>
      <xdr:col>24</xdr:col>
      <xdr:colOff>308937</xdr:colOff>
      <xdr:row>0</xdr:row>
      <xdr:rowOff>67988</xdr:rowOff>
    </xdr:from>
    <xdr:to>
      <xdr:col>35</xdr:col>
      <xdr:colOff>597446</xdr:colOff>
      <xdr:row>17</xdr:row>
      <xdr:rowOff>184265</xdr:rowOff>
    </xdr:to>
    <xdr:sp macro="" textlink="">
      <xdr:nvSpPr>
        <xdr:cNvPr id="5" name="Rectangle: Rounded Corners 4">
          <a:extLst>
            <a:ext uri="{FF2B5EF4-FFF2-40B4-BE49-F238E27FC236}">
              <a16:creationId xmlns:a16="http://schemas.microsoft.com/office/drawing/2014/main" id="{E1551D26-091B-43E2-A8C7-54836E7E04E8}"/>
            </a:ext>
          </a:extLst>
        </xdr:cNvPr>
        <xdr:cNvSpPr/>
      </xdr:nvSpPr>
      <xdr:spPr>
        <a:xfrm>
          <a:off x="14939337" y="67988"/>
          <a:ext cx="6994109" cy="3354777"/>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b="1">
              <a:solidFill>
                <a:schemeClr val="bg1"/>
              </a:solidFill>
              <a:latin typeface="+mn-lt"/>
              <a:cs typeface="Arial" panose="020B0604020202020204" pitchFamily="34" charset="0"/>
            </a:rPr>
            <a:t>ANALYSIS - Sales</a:t>
          </a:r>
          <a:r>
            <a:rPr lang="en-US" sz="800" b="1" baseline="0">
              <a:solidFill>
                <a:schemeClr val="bg1"/>
              </a:solidFill>
              <a:latin typeface="+mn-lt"/>
              <a:cs typeface="Arial" panose="020B0604020202020204" pitchFamily="34" charset="0"/>
            </a:rPr>
            <a:t> trend Reports</a:t>
          </a:r>
        </a:p>
        <a:p>
          <a:pPr algn="l"/>
          <a:endParaRPr lang="en-US" sz="800" b="1" baseline="0">
            <a:solidFill>
              <a:schemeClr val="bg1"/>
            </a:solidFill>
            <a:latin typeface="+mn-lt"/>
            <a:cs typeface="Arial" panose="020B0604020202020204" pitchFamily="34" charset="0"/>
          </a:endParaRPr>
        </a:p>
        <a:p>
          <a:pPr algn="l"/>
          <a:r>
            <a:rPr lang="en-US" sz="800" b="1" baseline="0">
              <a:solidFill>
                <a:schemeClr val="bg1"/>
              </a:solidFill>
              <a:latin typeface="+mn-lt"/>
              <a:cs typeface="Arial" panose="020B0604020202020204" pitchFamily="34" charset="0"/>
            </a:rPr>
            <a:t>OBSERVATION</a:t>
          </a:r>
        </a:p>
        <a:p>
          <a:pPr algn="l"/>
          <a:r>
            <a:rPr lang="en-US" sz="800" b="0" baseline="0">
              <a:solidFill>
                <a:schemeClr val="bg1"/>
              </a:solidFill>
              <a:latin typeface="+mn-lt"/>
              <a:cs typeface="Arial" panose="020B0604020202020204" pitchFamily="34" charset="0"/>
            </a:rPr>
            <a:t>-  The month of december recorded the highest sales revenue generating a total sum of </a:t>
          </a:r>
          <a:r>
            <a:rPr lang="en-US" sz="800" b="0" i="0" u="none" strike="noStrike">
              <a:solidFill>
                <a:schemeClr val="bg1"/>
              </a:solidFill>
              <a:effectLst/>
              <a:latin typeface="+mn-lt"/>
              <a:ea typeface="+mn-ea"/>
              <a:cs typeface="+mn-cs"/>
            </a:rPr>
            <a:t>$66,642.78</a:t>
          </a:r>
          <a:r>
            <a:rPr lang="en-US" sz="800">
              <a:solidFill>
                <a:schemeClr val="bg1"/>
              </a:solidFill>
              <a:latin typeface="+mn-lt"/>
            </a:rPr>
            <a:t> </a:t>
          </a:r>
          <a:r>
            <a:rPr lang="en-US" sz="800" b="0" baseline="0">
              <a:solidFill>
                <a:schemeClr val="bg1"/>
              </a:solidFill>
              <a:latin typeface="+mn-lt"/>
              <a:cs typeface="Arial" panose="020B0604020202020204" pitchFamily="34" charset="0"/>
            </a:rPr>
            <a:t> </a:t>
          </a:r>
        </a:p>
        <a:p>
          <a:pPr algn="l"/>
          <a:r>
            <a:rPr lang="en-US" sz="800" b="0" i="0" u="none" strike="noStrike" baseline="0">
              <a:solidFill>
                <a:schemeClr val="bg1"/>
              </a:solidFill>
              <a:effectLst/>
              <a:latin typeface="+mn-lt"/>
              <a:ea typeface="+mn-ea"/>
              <a:cs typeface="Arial" panose="020B0604020202020204" pitchFamily="34" charset="0"/>
            </a:rPr>
            <a:t>- June came second with the revenue generated to be </a:t>
          </a:r>
          <a:r>
            <a:rPr lang="en-US" sz="800" b="0" i="0" u="none" strike="noStrike">
              <a:solidFill>
                <a:schemeClr val="bg1"/>
              </a:solidFill>
              <a:effectLst/>
              <a:latin typeface="+mn-lt"/>
              <a:ea typeface="+mn-ea"/>
              <a:cs typeface="+mn-cs"/>
            </a:rPr>
            <a:t>$55,601.61</a:t>
          </a:r>
        </a:p>
        <a:p>
          <a:pPr algn="l"/>
          <a:r>
            <a:rPr lang="en-US" sz="800" b="0" i="0" u="none" strike="noStrike" baseline="0">
              <a:solidFill>
                <a:schemeClr val="bg1"/>
              </a:solidFill>
              <a:effectLst/>
              <a:latin typeface="+mn-lt"/>
              <a:ea typeface="+mn-ea"/>
              <a:cs typeface="+mn-cs"/>
            </a:rPr>
            <a:t>- October was a bit low compare to June with total sales generated to be </a:t>
          </a:r>
          <a:r>
            <a:rPr lang="en-US" sz="800" b="0" i="0" u="none" strike="noStrike">
              <a:solidFill>
                <a:schemeClr val="bg1"/>
              </a:solidFill>
              <a:effectLst/>
              <a:latin typeface="+mn-lt"/>
              <a:ea typeface="+mn-ea"/>
              <a:cs typeface="+mn-cs"/>
            </a:rPr>
            <a:t>$53,033.59</a:t>
          </a:r>
          <a:r>
            <a:rPr lang="en-US" sz="800">
              <a:solidFill>
                <a:schemeClr val="bg1"/>
              </a:solidFill>
              <a:latin typeface="+mn-lt"/>
            </a:rPr>
            <a:t> and this place the month to third</a:t>
          </a:r>
          <a:r>
            <a:rPr lang="en-US" sz="800" baseline="0">
              <a:solidFill>
                <a:schemeClr val="bg1"/>
              </a:solidFill>
              <a:latin typeface="+mn-lt"/>
            </a:rPr>
            <a:t> position</a:t>
          </a:r>
        </a:p>
        <a:p>
          <a:pPr algn="l"/>
          <a:r>
            <a:rPr lang="en-US" sz="800" b="0" i="0" u="none" strike="noStrike" baseline="0">
              <a:solidFill>
                <a:schemeClr val="bg1"/>
              </a:solidFill>
              <a:effectLst/>
              <a:latin typeface="+mn-lt"/>
              <a:ea typeface="+mn-ea"/>
              <a:cs typeface="+mn-cs"/>
            </a:rPr>
            <a:t>- May, Jan, Sept, Nov and Mar all generated sales below $35,000.00, with </a:t>
          </a:r>
          <a:r>
            <a:rPr lang="en-US" sz="800" b="0" i="0" u="none" strike="noStrike">
              <a:solidFill>
                <a:schemeClr val="bg1"/>
              </a:solidFill>
              <a:effectLst/>
              <a:latin typeface="+mn-lt"/>
              <a:ea typeface="+mn-ea"/>
              <a:cs typeface="+mn-cs"/>
            </a:rPr>
            <a:t>May</a:t>
          </a:r>
          <a:r>
            <a:rPr lang="en-US" sz="800">
              <a:solidFill>
                <a:schemeClr val="bg1"/>
              </a:solidFill>
              <a:latin typeface="+mn-lt"/>
            </a:rPr>
            <a:t> </a:t>
          </a:r>
          <a:r>
            <a:rPr lang="en-US" sz="800" b="0" i="0" u="none" strike="noStrike">
              <a:solidFill>
                <a:schemeClr val="bg1"/>
              </a:solidFill>
              <a:effectLst/>
              <a:latin typeface="+mn-lt"/>
              <a:ea typeface="+mn-ea"/>
              <a:cs typeface="+mn-cs"/>
            </a:rPr>
            <a:t>$34,307.05</a:t>
          </a:r>
          <a:r>
            <a:rPr lang="en-US" sz="800">
              <a:solidFill>
                <a:schemeClr val="bg1"/>
              </a:solidFill>
              <a:latin typeface="+mn-lt"/>
            </a:rPr>
            <a:t> </a:t>
          </a:r>
          <a:r>
            <a:rPr lang="en-US" sz="800" b="0" i="0" u="none" strike="noStrike">
              <a:solidFill>
                <a:schemeClr val="bg1"/>
              </a:solidFill>
              <a:effectLst/>
              <a:latin typeface="+mn-lt"/>
              <a:ea typeface="+mn-ea"/>
              <a:cs typeface="+mn-cs"/>
            </a:rPr>
            <a:t>Jan</a:t>
          </a:r>
          <a:r>
            <a:rPr lang="en-US" sz="800">
              <a:solidFill>
                <a:schemeClr val="bg1"/>
              </a:solidFill>
              <a:latin typeface="+mn-lt"/>
            </a:rPr>
            <a:t> </a:t>
          </a:r>
          <a:r>
            <a:rPr lang="en-US" sz="800" b="0" i="0" u="none" strike="noStrike">
              <a:solidFill>
                <a:schemeClr val="bg1"/>
              </a:solidFill>
              <a:effectLst/>
              <a:latin typeface="+mn-lt"/>
              <a:ea typeface="+mn-ea"/>
              <a:cs typeface="+mn-cs"/>
            </a:rPr>
            <a:t>$32,907.84</a:t>
          </a:r>
          <a:r>
            <a:rPr lang="en-US" sz="800">
              <a:solidFill>
                <a:schemeClr val="bg1"/>
              </a:solidFill>
              <a:latin typeface="+mn-lt"/>
            </a:rPr>
            <a:t> </a:t>
          </a:r>
          <a:r>
            <a:rPr lang="en-US" sz="800" b="0" i="0" u="none" strike="noStrike">
              <a:solidFill>
                <a:schemeClr val="bg1"/>
              </a:solidFill>
              <a:effectLst/>
              <a:latin typeface="+mn-lt"/>
              <a:ea typeface="+mn-ea"/>
              <a:cs typeface="+mn-cs"/>
            </a:rPr>
            <a:t>Sep</a:t>
          </a:r>
          <a:r>
            <a:rPr lang="en-US" sz="800">
              <a:solidFill>
                <a:schemeClr val="bg1"/>
              </a:solidFill>
              <a:latin typeface="+mn-lt"/>
            </a:rPr>
            <a:t> </a:t>
          </a:r>
          <a:r>
            <a:rPr lang="en-US" sz="800" b="0" i="0" u="none" strike="noStrike">
              <a:solidFill>
                <a:schemeClr val="bg1"/>
              </a:solidFill>
              <a:effectLst/>
              <a:latin typeface="+mn-lt"/>
              <a:ea typeface="+mn-ea"/>
              <a:cs typeface="+mn-cs"/>
            </a:rPr>
            <a:t>$31,949.97</a:t>
          </a:r>
          <a:r>
            <a:rPr lang="en-US" sz="800">
              <a:solidFill>
                <a:schemeClr val="bg1"/>
              </a:solidFill>
              <a:latin typeface="+mn-lt"/>
            </a:rPr>
            <a:t> </a:t>
          </a:r>
          <a:r>
            <a:rPr lang="en-US" sz="800" b="0" i="0" u="none" strike="noStrike">
              <a:solidFill>
                <a:schemeClr val="bg1"/>
              </a:solidFill>
              <a:effectLst/>
              <a:latin typeface="+mn-lt"/>
              <a:ea typeface="+mn-ea"/>
              <a:cs typeface="+mn-cs"/>
            </a:rPr>
            <a:t>Nov</a:t>
          </a:r>
          <a:r>
            <a:rPr lang="en-US" sz="800">
              <a:solidFill>
                <a:schemeClr val="bg1"/>
              </a:solidFill>
              <a:latin typeface="+mn-lt"/>
            </a:rPr>
            <a:t> </a:t>
          </a:r>
          <a:r>
            <a:rPr lang="en-US" sz="800" b="0" i="0" u="none" strike="noStrike">
              <a:solidFill>
                <a:schemeClr val="bg1"/>
              </a:solidFill>
              <a:effectLst/>
              <a:latin typeface="+mn-lt"/>
              <a:ea typeface="+mn-ea"/>
              <a:cs typeface="+mn-cs"/>
            </a:rPr>
            <a:t>$31,773.43</a:t>
          </a:r>
          <a:r>
            <a:rPr lang="en-US" sz="800">
              <a:solidFill>
                <a:schemeClr val="bg1"/>
              </a:solidFill>
              <a:latin typeface="+mn-lt"/>
            </a:rPr>
            <a:t> and </a:t>
          </a:r>
          <a:r>
            <a:rPr lang="en-US" sz="800" b="0" i="0" u="none" strike="noStrike">
              <a:solidFill>
                <a:schemeClr val="bg1"/>
              </a:solidFill>
              <a:effectLst/>
              <a:latin typeface="+mn-lt"/>
              <a:ea typeface="+mn-ea"/>
              <a:cs typeface="+mn-cs"/>
            </a:rPr>
            <a:t>Mar</a:t>
          </a:r>
          <a:r>
            <a:rPr lang="en-US" sz="800">
              <a:solidFill>
                <a:schemeClr val="bg1"/>
              </a:solidFill>
              <a:latin typeface="+mn-lt"/>
            </a:rPr>
            <a:t> </a:t>
          </a:r>
          <a:r>
            <a:rPr lang="en-US" sz="800" b="0" i="0" u="none" strike="noStrike">
              <a:solidFill>
                <a:schemeClr val="bg1"/>
              </a:solidFill>
              <a:effectLst/>
              <a:latin typeface="+mn-lt"/>
              <a:ea typeface="+mn-ea"/>
              <a:cs typeface="+mn-cs"/>
            </a:rPr>
            <a:t>$30,852.60</a:t>
          </a:r>
          <a:r>
            <a:rPr lang="en-US" sz="800">
              <a:solidFill>
                <a:schemeClr val="bg1"/>
              </a:solidFill>
              <a:latin typeface="+mn-lt"/>
            </a:rPr>
            <a:t>  respectively.</a:t>
          </a:r>
        </a:p>
        <a:p>
          <a:pPr algn="l"/>
          <a:r>
            <a:rPr lang="en-US" sz="800" b="0" i="0" u="none" strike="noStrike" baseline="0">
              <a:solidFill>
                <a:schemeClr val="bg1"/>
              </a:solidFill>
              <a:effectLst/>
              <a:latin typeface="+mn-lt"/>
              <a:ea typeface="+mn-ea"/>
              <a:cs typeface="+mn-cs"/>
            </a:rPr>
            <a:t>-  Despite a sharp rise in June with sales of $55,601.61, July saw a significant decline in sales, generating $27,318.54. This substantial drop warrants attention and further analysis to identify the underlying causes.</a:t>
          </a:r>
        </a:p>
        <a:p>
          <a:pPr algn="l"/>
          <a:r>
            <a:rPr lang="en-US" sz="800" b="0" i="0" u="none" strike="noStrike" baseline="0">
              <a:solidFill>
                <a:schemeClr val="bg1"/>
              </a:solidFill>
              <a:effectLst/>
              <a:latin typeface="+mn-lt"/>
              <a:ea typeface="+mn-ea"/>
              <a:cs typeface="+mn-cs"/>
            </a:rPr>
            <a:t>- April ranks 11th with total sales generated to be </a:t>
          </a:r>
          <a:r>
            <a:rPr lang="en-US" sz="800" b="0" i="0" u="none" strike="noStrike">
              <a:solidFill>
                <a:schemeClr val="bg1"/>
              </a:solidFill>
              <a:effectLst/>
              <a:latin typeface="+mn-lt"/>
              <a:ea typeface="+mn-ea"/>
              <a:cs typeface="+mn-cs"/>
            </a:rPr>
            <a:t>$20,771.79</a:t>
          </a:r>
          <a:r>
            <a:rPr lang="en-US" sz="800">
              <a:solidFill>
                <a:schemeClr val="bg1"/>
              </a:solidFill>
            </a:rPr>
            <a:t> while</a:t>
          </a:r>
          <a:r>
            <a:rPr lang="en-US" sz="800" baseline="0">
              <a:solidFill>
                <a:schemeClr val="bg1"/>
              </a:solidFill>
            </a:rPr>
            <a:t> </a:t>
          </a:r>
        </a:p>
        <a:p>
          <a:pPr algn="l"/>
          <a:r>
            <a:rPr lang="en-US" sz="800" b="0" i="0" u="none" strike="noStrike" baseline="0">
              <a:solidFill>
                <a:schemeClr val="bg1"/>
              </a:solidFill>
              <a:effectLst/>
              <a:latin typeface="+mn-lt"/>
              <a:ea typeface="+mn-ea"/>
              <a:cs typeface="+mn-cs"/>
            </a:rPr>
            <a:t>- February had the lowest sales performance, generating $19,985.50</a:t>
          </a:r>
        </a:p>
        <a:p>
          <a:pPr algn="l"/>
          <a:endParaRPr lang="en-US" sz="800" b="0" i="0" u="none" strike="noStrike" baseline="0">
            <a:solidFill>
              <a:schemeClr val="bg1"/>
            </a:solidFill>
            <a:effectLst/>
            <a:latin typeface="+mn-lt"/>
            <a:ea typeface="+mn-ea"/>
            <a:cs typeface="+mn-cs"/>
          </a:endParaRPr>
        </a:p>
        <a:p>
          <a:pPr algn="l"/>
          <a:endParaRPr lang="en-US" sz="800" b="0" i="0" u="none" strike="noStrike" baseline="0">
            <a:solidFill>
              <a:schemeClr val="bg1"/>
            </a:solidFill>
            <a:effectLst/>
            <a:latin typeface="+mn-lt"/>
            <a:ea typeface="+mn-ea"/>
            <a:cs typeface="+mn-cs"/>
          </a:endParaRPr>
        </a:p>
        <a:p>
          <a:pPr algn="l"/>
          <a:r>
            <a:rPr lang="en-US" sz="800" b="1" i="0" u="none" strike="noStrike" baseline="0">
              <a:solidFill>
                <a:schemeClr val="bg1"/>
              </a:solidFill>
              <a:effectLst/>
              <a:latin typeface="+mn-lt"/>
              <a:ea typeface="+mn-ea"/>
              <a:cs typeface="+mn-cs"/>
            </a:rPr>
            <a:t>PRE-INSIGHT</a:t>
          </a:r>
        </a:p>
        <a:p>
          <a:pPr algn="l"/>
          <a:r>
            <a:rPr lang="en-US" sz="800" b="0" i="0" u="none" strike="noStrike" baseline="0">
              <a:solidFill>
                <a:schemeClr val="bg1"/>
              </a:solidFill>
              <a:effectLst/>
              <a:latin typeface="+mn-lt"/>
              <a:ea typeface="+mn-ea"/>
              <a:cs typeface="+mn-cs"/>
            </a:rPr>
            <a:t>- December's strong sales performance likely reflects a seasonal boost from holiday shopping. In contrast, </a:t>
          </a:r>
        </a:p>
        <a:p>
          <a:pPr algn="l"/>
          <a:r>
            <a:rPr lang="en-US" sz="800" b="0" i="0" u="none" strike="noStrike" baseline="0">
              <a:solidFill>
                <a:schemeClr val="bg1"/>
              </a:solidFill>
              <a:effectLst/>
              <a:latin typeface="+mn-lt"/>
              <a:ea typeface="+mn-ea"/>
              <a:cs typeface="+mn-cs"/>
            </a:rPr>
            <a:t>- February's poor performance might be attributed to post-holiday slumps. However, </a:t>
          </a:r>
        </a:p>
        <a:p>
          <a:pPr algn="l"/>
          <a:r>
            <a:rPr lang="en-US" sz="800" b="0" i="0" u="none" strike="noStrike" baseline="0">
              <a:solidFill>
                <a:schemeClr val="bg1"/>
              </a:solidFill>
              <a:effectLst/>
              <a:latin typeface="+mn-lt"/>
              <a:ea typeface="+mn-ea"/>
              <a:cs typeface="+mn-cs"/>
            </a:rPr>
            <a:t>- January's relatively better performance suggests that February's dip may be due to specific factors rather than a straightforward post-holiday trend.</a:t>
          </a:r>
        </a:p>
        <a:p>
          <a:pPr algn="l"/>
          <a:r>
            <a:rPr lang="en-US" sz="800" b="0" i="0" u="none" strike="noStrike" baseline="0">
              <a:solidFill>
                <a:schemeClr val="bg1"/>
              </a:solidFill>
              <a:effectLst/>
              <a:latin typeface="+mn-lt"/>
              <a:ea typeface="+mn-ea"/>
              <a:cs typeface="+mn-cs"/>
            </a:rPr>
            <a:t>- The June-to-July sales decline warrants investigation.</a:t>
          </a:r>
        </a:p>
        <a:p>
          <a:pPr algn="l"/>
          <a:r>
            <a:rPr lang="en-US" sz="800" b="0" i="0" u="none" strike="noStrike" baseline="0">
              <a:solidFill>
                <a:schemeClr val="bg1"/>
              </a:solidFill>
              <a:effectLst/>
              <a:latin typeface="+mn-lt"/>
              <a:ea typeface="+mn-ea"/>
              <a:cs typeface="+mn-cs"/>
            </a:rPr>
            <a:t>- Consistent underperformance in certain months (May, Jan, Sept, Nov, Mar) suggests opportunities for improvement.</a:t>
          </a:r>
        </a:p>
        <a:p>
          <a:pPr algn="l"/>
          <a:endParaRPr lang="en-US" sz="800" b="0" i="0" u="none" strike="noStrike" baseline="0">
            <a:solidFill>
              <a:schemeClr val="bg1"/>
            </a:solidFill>
            <a:effectLst/>
            <a:latin typeface="+mn-lt"/>
            <a:ea typeface="+mn-ea"/>
            <a:cs typeface="+mn-cs"/>
          </a:endParaRPr>
        </a:p>
      </xdr:txBody>
    </xdr:sp>
    <xdr:clientData/>
  </xdr:twoCellAnchor>
  <xdr:twoCellAnchor>
    <xdr:from>
      <xdr:col>12</xdr:col>
      <xdr:colOff>324971</xdr:colOff>
      <xdr:row>19</xdr:row>
      <xdr:rowOff>37913</xdr:rowOff>
    </xdr:from>
    <xdr:to>
      <xdr:col>23</xdr:col>
      <xdr:colOff>397808</xdr:colOff>
      <xdr:row>35</xdr:row>
      <xdr:rowOff>178921</xdr:rowOff>
    </xdr:to>
    <xdr:sp macro="" textlink="">
      <xdr:nvSpPr>
        <xdr:cNvPr id="7" name="Rectangle: Rounded Corners 6">
          <a:extLst>
            <a:ext uri="{FF2B5EF4-FFF2-40B4-BE49-F238E27FC236}">
              <a16:creationId xmlns:a16="http://schemas.microsoft.com/office/drawing/2014/main" id="{A895A590-CCF5-421B-A153-562B71AB4E0A}"/>
            </a:ext>
          </a:extLst>
        </xdr:cNvPr>
        <xdr:cNvSpPr/>
      </xdr:nvSpPr>
      <xdr:spPr>
        <a:xfrm>
          <a:off x="7640171" y="3657413"/>
          <a:ext cx="6778437" cy="3189008"/>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800" b="1">
              <a:solidFill>
                <a:schemeClr val="bg1"/>
              </a:solidFill>
              <a:effectLst/>
              <a:latin typeface="+mn-lt"/>
              <a:ea typeface="+mn-ea"/>
              <a:cs typeface="+mn-cs"/>
            </a:rPr>
            <a:t>ANALYSIS - Sales</a:t>
          </a:r>
          <a:r>
            <a:rPr lang="en-US" sz="800" b="1" baseline="0">
              <a:solidFill>
                <a:schemeClr val="bg1"/>
              </a:solidFill>
              <a:effectLst/>
              <a:latin typeface="+mn-lt"/>
              <a:ea typeface="+mn-ea"/>
              <a:cs typeface="+mn-cs"/>
            </a:rPr>
            <a:t> by Product Category</a:t>
          </a:r>
        </a:p>
        <a:p>
          <a:endParaRPr lang="en-NG" sz="800">
            <a:solidFill>
              <a:schemeClr val="bg1"/>
            </a:solidFill>
            <a:effectLst/>
          </a:endParaRPr>
        </a:p>
        <a:p>
          <a:r>
            <a:rPr lang="en-US" sz="800" b="1" baseline="0">
              <a:solidFill>
                <a:schemeClr val="bg1"/>
              </a:solidFill>
              <a:effectLst/>
              <a:latin typeface="+mn-lt"/>
              <a:ea typeface="+mn-ea"/>
              <a:cs typeface="+mn-cs"/>
            </a:rPr>
            <a:t>OBSERVATION</a:t>
          </a:r>
          <a:endParaRPr lang="en-NG" sz="800">
            <a:solidFill>
              <a:schemeClr val="bg1"/>
            </a:solidFill>
            <a:effectLst/>
          </a:endParaRPr>
        </a:p>
        <a:p>
          <a:r>
            <a:rPr lang="en-US" sz="1100" b="0" i="0" u="none" strike="noStrike">
              <a:solidFill>
                <a:schemeClr val="lt1"/>
              </a:solidFill>
              <a:effectLst/>
              <a:latin typeface="+mn-lt"/>
              <a:ea typeface="+mn-ea"/>
              <a:cs typeface="+mn-cs"/>
            </a:rPr>
            <a:t>- Beverages Tops the chart with the highest revenue of $110,577.11.2. </a:t>
          </a:r>
        </a:p>
        <a:p>
          <a:r>
            <a:rPr lang="en-US" sz="1100" b="0" i="0" u="none" strike="noStrike">
              <a:solidFill>
                <a:schemeClr val="lt1"/>
              </a:solidFill>
              <a:effectLst/>
              <a:latin typeface="+mn-lt"/>
              <a:ea typeface="+mn-ea"/>
              <a:cs typeface="+mn-cs"/>
            </a:rPr>
            <a:t>- Sauces</a:t>
          </a:r>
          <a:r>
            <a:rPr lang="en-US" sz="1100" b="0" i="0" u="none" strike="noStrike" baseline="0">
              <a:solidFill>
                <a:schemeClr val="lt1"/>
              </a:solidFill>
              <a:effectLst/>
              <a:latin typeface="+mn-lt"/>
              <a:ea typeface="+mn-ea"/>
              <a:cs typeface="+mn-cs"/>
            </a:rPr>
            <a:t> s</a:t>
          </a:r>
          <a:r>
            <a:rPr lang="en-US" sz="1100" b="0" i="0" u="none" strike="noStrike">
              <a:solidFill>
                <a:schemeClr val="lt1"/>
              </a:solidFill>
              <a:effectLst/>
              <a:latin typeface="+mn-lt"/>
              <a:ea typeface="+mn-ea"/>
              <a:cs typeface="+mn-cs"/>
            </a:rPr>
            <a:t>ecures second place with $69,000 in revenue, although there's a significant gap between this and the leading Beverages category. </a:t>
          </a:r>
        </a:p>
        <a:p>
          <a:r>
            <a:rPr lang="en-US" sz="1100" b="0" i="0" u="none" strike="noStrike">
              <a:solidFill>
                <a:schemeClr val="lt1"/>
              </a:solidFill>
              <a:effectLst/>
              <a:latin typeface="+mn-lt"/>
              <a:ea typeface="+mn-ea"/>
              <a:cs typeface="+mn-cs"/>
            </a:rPr>
            <a:t>- Jams, Preserves takes third position with $51,541.00 in revenue.</a:t>
          </a:r>
        </a:p>
        <a:p>
          <a:r>
            <a:rPr lang="en-US" sz="1100" b="0" i="0" u="none" strike="noStrike">
              <a:solidFill>
                <a:schemeClr val="lt1"/>
              </a:solidFill>
              <a:effectLst/>
              <a:latin typeface="+mn-lt"/>
              <a:ea typeface="+mn-ea"/>
              <a:cs typeface="+mn-cs"/>
            </a:rPr>
            <a:t>- Dairy Products</a:t>
          </a:r>
          <a:r>
            <a:rPr lang="en-US" sz="1100" b="0" i="0" u="none" strike="noStrike" baseline="0">
              <a:solidFill>
                <a:schemeClr val="lt1"/>
              </a:solidFill>
              <a:effectLst/>
              <a:latin typeface="+mn-lt"/>
              <a:ea typeface="+mn-ea"/>
              <a:cs typeface="+mn-cs"/>
            </a:rPr>
            <a:t> r</a:t>
          </a:r>
          <a:r>
            <a:rPr lang="en-US" sz="1100" b="0" i="0" u="none" strike="noStrike">
              <a:solidFill>
                <a:schemeClr val="lt1"/>
              </a:solidFill>
              <a:effectLst/>
              <a:latin typeface="+mn-lt"/>
              <a:ea typeface="+mn-ea"/>
              <a:cs typeface="+mn-cs"/>
            </a:rPr>
            <a:t>anks fourth with $33,129.60, trailing the third position by over $18,000.5. </a:t>
          </a:r>
        </a:p>
        <a:p>
          <a:r>
            <a:rPr lang="en-US" sz="1100" b="0" i="0" u="none" strike="noStrike">
              <a:solidFill>
                <a:schemeClr val="lt1"/>
              </a:solidFill>
              <a:effectLst/>
              <a:latin typeface="+mn-lt"/>
              <a:ea typeface="+mn-ea"/>
              <a:cs typeface="+mn-cs"/>
            </a:rPr>
            <a:t>- Dried Fruit &amp; Nuts</a:t>
          </a:r>
          <a:r>
            <a:rPr lang="en-US" sz="1100" b="0" i="0" u="none" strike="noStrike" baseline="0">
              <a:solidFill>
                <a:schemeClr val="lt1"/>
              </a:solidFill>
              <a:effectLst/>
              <a:latin typeface="+mn-lt"/>
              <a:ea typeface="+mn-ea"/>
              <a:cs typeface="+mn-cs"/>
            </a:rPr>
            <a:t> p</a:t>
          </a:r>
          <a:r>
            <a:rPr lang="en-US" sz="1100" b="0" i="0" u="none" strike="noStrike">
              <a:solidFill>
                <a:schemeClr val="lt1"/>
              </a:solidFill>
              <a:effectLst/>
              <a:latin typeface="+mn-lt"/>
              <a:ea typeface="+mn-ea"/>
              <a:cs typeface="+mn-cs"/>
            </a:rPr>
            <a:t>laces fifth with $27,999.50 in revenue.</a:t>
          </a:r>
        </a:p>
        <a:p>
          <a:r>
            <a:rPr lang="en-US" sz="1100" b="0" i="0" u="none" strike="noStrike">
              <a:solidFill>
                <a:schemeClr val="lt1"/>
              </a:solidFill>
              <a:effectLst/>
              <a:latin typeface="+mn-lt"/>
              <a:ea typeface="+mn-ea"/>
              <a:cs typeface="+mn-cs"/>
            </a:rPr>
            <a:t>- Canned Meat</a:t>
          </a:r>
          <a:r>
            <a:rPr lang="en-US" sz="1100" b="0" i="0" u="none" strike="noStrike" baseline="0">
              <a:solidFill>
                <a:schemeClr val="lt1"/>
              </a:solidFill>
              <a:effectLst/>
              <a:latin typeface="+mn-lt"/>
              <a:ea typeface="+mn-ea"/>
              <a:cs typeface="+mn-cs"/>
            </a:rPr>
            <a:t> c</a:t>
          </a:r>
          <a:r>
            <a:rPr lang="en-US" sz="1100" b="0" i="0" u="none" strike="noStrike">
              <a:solidFill>
                <a:schemeClr val="lt1"/>
              </a:solidFill>
              <a:effectLst/>
              <a:latin typeface="+mn-lt"/>
              <a:ea typeface="+mn-ea"/>
              <a:cs typeface="+mn-cs"/>
            </a:rPr>
            <a:t>omes in last with $25,465.60.</a:t>
          </a:r>
        </a:p>
        <a:p>
          <a:endParaRPr lang="en-NG" sz="800">
            <a:solidFill>
              <a:schemeClr val="bg1"/>
            </a:solidFill>
            <a:effectLst/>
          </a:endParaRPr>
        </a:p>
        <a:p>
          <a:r>
            <a:rPr lang="en-US" sz="800" b="1" i="0" baseline="0">
              <a:solidFill>
                <a:schemeClr val="bg1"/>
              </a:solidFill>
              <a:effectLst/>
              <a:latin typeface="+mn-lt"/>
              <a:ea typeface="+mn-ea"/>
              <a:cs typeface="+mn-cs"/>
            </a:rPr>
            <a:t>PRE-INSIGHT</a:t>
          </a:r>
          <a:endParaRPr lang="en-NG" sz="800">
            <a:solidFill>
              <a:schemeClr val="bg1"/>
            </a:solidFill>
            <a:effectLst/>
          </a:endParaRPr>
        </a:p>
        <a:p>
          <a:r>
            <a:rPr lang="en-US" sz="800">
              <a:solidFill>
                <a:schemeClr val="bg1"/>
              </a:solidFill>
              <a:effectLst/>
            </a:rPr>
            <a:t>- Beverages shows market dominance</a:t>
          </a:r>
          <a:r>
            <a:rPr lang="en-US" sz="800" baseline="0">
              <a:solidFill>
                <a:schemeClr val="bg1"/>
              </a:solidFill>
              <a:effectLst/>
            </a:rPr>
            <a:t> by</a:t>
          </a:r>
          <a:r>
            <a:rPr lang="en-US" sz="800">
              <a:solidFill>
                <a:schemeClr val="bg1"/>
              </a:solidFill>
              <a:effectLst/>
            </a:rPr>
            <a:t> leading</a:t>
          </a:r>
          <a:r>
            <a:rPr lang="en-US" sz="800" baseline="0">
              <a:solidFill>
                <a:schemeClr val="bg1"/>
              </a:solidFill>
              <a:effectLst/>
            </a:rPr>
            <a:t> </a:t>
          </a:r>
          <a:r>
            <a:rPr lang="en-US" sz="800">
              <a:solidFill>
                <a:schemeClr val="bg1"/>
              </a:solidFill>
              <a:effectLst/>
            </a:rPr>
            <a:t>the revenue chart with $110,577.11, indicating strong demand.</a:t>
          </a:r>
        </a:p>
        <a:p>
          <a:r>
            <a:rPr lang="en-US" sz="800">
              <a:solidFill>
                <a:schemeClr val="bg1"/>
              </a:solidFill>
              <a:effectLst/>
            </a:rPr>
            <a:t>-  A substantial revenue gap exists between Beverages and Sauces $69,000, suggesting opportunities for growth or optimization.</a:t>
          </a:r>
        </a:p>
        <a:p>
          <a:r>
            <a:rPr lang="en-US" sz="800">
              <a:solidFill>
                <a:schemeClr val="bg1"/>
              </a:solidFill>
              <a:effectLst/>
            </a:rPr>
            <a:t>- The top three categories (Beverages, Sauces, and Jams, Preserves) account for a significant portion of total revenue.</a:t>
          </a:r>
        </a:p>
        <a:p>
          <a:r>
            <a:rPr lang="en-US" sz="800">
              <a:solidFill>
                <a:schemeClr val="bg1"/>
              </a:solidFill>
              <a:effectLst/>
            </a:rPr>
            <a:t>- Dairy Products, Dried Fruit &amp; Nuts, and Canned Meat trail behind, potentially requiring strategic adjustments.</a:t>
          </a:r>
          <a:endParaRPr lang="en-NG" sz="800">
            <a:solidFill>
              <a:schemeClr val="bg1"/>
            </a:solidFill>
            <a:effectLst/>
          </a:endParaRPr>
        </a:p>
      </xdr:txBody>
    </xdr:sp>
    <xdr:clientData/>
  </xdr:twoCellAnchor>
  <xdr:twoCellAnchor>
    <xdr:from>
      <xdr:col>24</xdr:col>
      <xdr:colOff>267447</xdr:colOff>
      <xdr:row>18</xdr:row>
      <xdr:rowOff>115281</xdr:rowOff>
    </xdr:from>
    <xdr:to>
      <xdr:col>35</xdr:col>
      <xdr:colOff>559547</xdr:colOff>
      <xdr:row>36</xdr:row>
      <xdr:rowOff>49679</xdr:rowOff>
    </xdr:to>
    <xdr:sp macro="" textlink="">
      <xdr:nvSpPr>
        <xdr:cNvPr id="8" name="Rectangle: Rounded Corners 7">
          <a:extLst>
            <a:ext uri="{FF2B5EF4-FFF2-40B4-BE49-F238E27FC236}">
              <a16:creationId xmlns:a16="http://schemas.microsoft.com/office/drawing/2014/main" id="{C8904304-668E-4AF2-BBA0-FF36DB366006}"/>
            </a:ext>
          </a:extLst>
        </xdr:cNvPr>
        <xdr:cNvSpPr/>
      </xdr:nvSpPr>
      <xdr:spPr>
        <a:xfrm>
          <a:off x="14897847" y="3544281"/>
          <a:ext cx="6997700" cy="336339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b="1">
              <a:solidFill>
                <a:schemeClr val="tx1"/>
              </a:solidFill>
              <a:latin typeface="+mn-lt"/>
              <a:cs typeface="Arial" panose="020B0604020202020204" pitchFamily="34" charset="0"/>
            </a:rPr>
            <a:t>ANALYSIS </a:t>
          </a:r>
          <a:r>
            <a:rPr lang="en-US" sz="800" b="0">
              <a:solidFill>
                <a:schemeClr val="tx1"/>
              </a:solidFill>
              <a:latin typeface="+mn-lt"/>
              <a:cs typeface="Arial" panose="020B0604020202020204" pitchFamily="34" charset="0"/>
            </a:rPr>
            <a:t>- </a:t>
          </a:r>
          <a:r>
            <a:rPr lang="en-US" sz="1100" b="1" i="0" u="none" strike="noStrike">
              <a:solidFill>
                <a:schemeClr val="tx1"/>
              </a:solidFill>
              <a:effectLst/>
              <a:latin typeface="+mn-lt"/>
              <a:ea typeface="+mn-ea"/>
              <a:cs typeface="+mn-cs"/>
            </a:rPr>
            <a:t>Transaction By Amount</a:t>
          </a:r>
          <a:endParaRPr lang="en-US" sz="800" b="1" baseline="0">
            <a:solidFill>
              <a:schemeClr val="tx1"/>
            </a:solidFill>
            <a:latin typeface="+mn-lt"/>
            <a:cs typeface="Arial" panose="020B0604020202020204" pitchFamily="34" charset="0"/>
          </a:endParaRPr>
        </a:p>
        <a:p>
          <a:pPr algn="l"/>
          <a:endParaRPr lang="en-US" sz="800" b="1" baseline="0">
            <a:solidFill>
              <a:schemeClr val="tx1"/>
            </a:solidFill>
            <a:latin typeface="+mn-lt"/>
            <a:cs typeface="Arial" panose="020B0604020202020204" pitchFamily="34" charset="0"/>
          </a:endParaRPr>
        </a:p>
        <a:p>
          <a:pPr algn="l"/>
          <a:r>
            <a:rPr lang="en-US" sz="800" b="1" baseline="0">
              <a:solidFill>
                <a:schemeClr val="tx1"/>
              </a:solidFill>
              <a:latin typeface="+mn-lt"/>
              <a:cs typeface="Arial" panose="020B0604020202020204" pitchFamily="34" charset="0"/>
            </a:rPr>
            <a:t>OBSERVATION</a:t>
          </a:r>
        </a:p>
        <a:p>
          <a:pPr algn="l"/>
          <a:r>
            <a:rPr lang="en-US" sz="800" b="0" baseline="0">
              <a:solidFill>
                <a:schemeClr val="tx1"/>
              </a:solidFill>
              <a:latin typeface="+mn-lt"/>
              <a:cs typeface="Arial" panose="020B0604020202020204" pitchFamily="34" charset="0"/>
            </a:rPr>
            <a:t>- The majority of revenue comes from lower price points, with the highest count of revenue 218 observed in the 0-1000 price range.</a:t>
          </a:r>
        </a:p>
        <a:p>
          <a:pPr algn="l"/>
          <a:r>
            <a:rPr lang="en-US" sz="800" b="0" baseline="0">
              <a:solidFill>
                <a:schemeClr val="tx1"/>
              </a:solidFill>
              <a:latin typeface="+mn-lt"/>
              <a:cs typeface="Arial" panose="020B0604020202020204" pitchFamily="34" charset="0"/>
            </a:rPr>
            <a:t>-  There's an inverse relationship between price and revenue count. As the price increases, the count of revenue decreases.</a:t>
          </a:r>
        </a:p>
        <a:p>
          <a:pPr algn="l"/>
          <a:r>
            <a:rPr lang="en-US" sz="800" b="0" i="0" u="none" strike="noStrike" baseline="0">
              <a:solidFill>
                <a:schemeClr val="tx1"/>
              </a:solidFill>
              <a:effectLst/>
              <a:latin typeface="+mn-lt"/>
              <a:ea typeface="+mn-ea"/>
              <a:cs typeface="+mn-cs"/>
            </a:rPr>
            <a:t>- The 0-1000 and 1000-2000 price ranges are the top contributors to revenue, accounting for 218 and 85, respectively.</a:t>
          </a:r>
        </a:p>
        <a:p>
          <a:pPr algn="l"/>
          <a:r>
            <a:rPr lang="en-US" sz="800" b="0" i="0" u="none" strike="noStrike" baseline="0">
              <a:solidFill>
                <a:schemeClr val="tx1"/>
              </a:solidFill>
              <a:effectLst/>
              <a:latin typeface="+mn-lt"/>
              <a:ea typeface="+mn-ea"/>
              <a:cs typeface="+mn-cs"/>
            </a:rPr>
            <a:t>- The highest price ranges 6000-7000 and 7000-8000 have the lowest revenue counts, contributing 2 and 1, respectively.</a:t>
          </a:r>
        </a:p>
        <a:p>
          <a:pPr algn="l"/>
          <a:endParaRPr lang="en-US" sz="800" b="0" i="0" u="none" strike="noStrike" baseline="0">
            <a:solidFill>
              <a:schemeClr val="tx1"/>
            </a:solidFill>
            <a:effectLst/>
            <a:latin typeface="+mn-lt"/>
            <a:ea typeface="+mn-ea"/>
            <a:cs typeface="+mn-cs"/>
          </a:endParaRPr>
        </a:p>
        <a:p>
          <a:pPr algn="l"/>
          <a:endParaRPr lang="en-US" sz="800" b="1" i="0" u="none" strike="noStrike" baseline="0">
            <a:solidFill>
              <a:schemeClr val="tx1"/>
            </a:solidFill>
            <a:effectLst/>
            <a:latin typeface="+mn-lt"/>
            <a:ea typeface="+mn-ea"/>
            <a:cs typeface="+mn-cs"/>
          </a:endParaRPr>
        </a:p>
        <a:p>
          <a:pPr algn="l"/>
          <a:endParaRPr lang="en-US" sz="800" b="1" i="0" u="none" strike="noStrike" baseline="0">
            <a:solidFill>
              <a:schemeClr val="tx1"/>
            </a:solidFill>
            <a:effectLst/>
            <a:latin typeface="+mn-lt"/>
            <a:ea typeface="+mn-ea"/>
            <a:cs typeface="+mn-cs"/>
          </a:endParaRPr>
        </a:p>
        <a:p>
          <a:pPr algn="l"/>
          <a:endParaRPr lang="en-US" sz="800" b="1" i="0" u="none" strike="noStrike" baseline="0">
            <a:solidFill>
              <a:schemeClr val="tx1"/>
            </a:solidFill>
            <a:effectLst/>
            <a:latin typeface="+mn-lt"/>
            <a:ea typeface="+mn-ea"/>
            <a:cs typeface="+mn-cs"/>
          </a:endParaRPr>
        </a:p>
        <a:p>
          <a:pPr algn="l"/>
          <a:r>
            <a:rPr lang="en-US" sz="800" b="1" i="0" u="none" strike="noStrike" baseline="0">
              <a:solidFill>
                <a:schemeClr val="tx1"/>
              </a:solidFill>
              <a:effectLst/>
              <a:latin typeface="+mn-lt"/>
              <a:ea typeface="+mn-ea"/>
              <a:cs typeface="+mn-cs"/>
            </a:rPr>
            <a:t>PRE-INSIGHT</a:t>
          </a:r>
        </a:p>
        <a:p>
          <a:pPr algn="l"/>
          <a:r>
            <a:rPr lang="en-US" sz="800" b="0" i="0" u="none" strike="noStrike" baseline="0">
              <a:solidFill>
                <a:schemeClr val="tx1"/>
              </a:solidFill>
              <a:effectLst/>
              <a:latin typeface="+mn-lt"/>
              <a:ea typeface="+mn-ea"/>
              <a:cs typeface="+mn-cs"/>
            </a:rPr>
            <a:t>- Price Sensitivity is the majority of revenue comes from lower price points 0-1000, suggesting customers are highly price-sensitive</a:t>
          </a:r>
        </a:p>
        <a:p>
          <a:pPr algn="l"/>
          <a:r>
            <a:rPr lang="en-US" sz="800" b="0" i="0" u="none" strike="noStrike" baseline="0">
              <a:solidFill>
                <a:schemeClr val="tx1"/>
              </a:solidFill>
              <a:effectLst/>
              <a:latin typeface="+mn-lt"/>
              <a:ea typeface="+mn-ea"/>
              <a:cs typeface="+mn-cs"/>
            </a:rPr>
            <a:t>- As prices increase, revenue counts decrease, indicating potential pricing strategy opportunities.</a:t>
          </a:r>
        </a:p>
        <a:p>
          <a:pPr algn="l"/>
          <a:r>
            <a:rPr lang="en-US" sz="800" b="0" i="0" u="none" strike="noStrike" baseline="0">
              <a:solidFill>
                <a:schemeClr val="tx1"/>
              </a:solidFill>
              <a:effectLst/>
              <a:latin typeface="+mn-lt"/>
              <a:ea typeface="+mn-ea"/>
              <a:cs typeface="+mn-cs"/>
            </a:rPr>
            <a:t>- The 0-1000 and 1000-2000 price ranges dominate revenue contribution, warranting focus for optimization.</a:t>
          </a:r>
        </a:p>
      </xdr:txBody>
    </xdr:sp>
    <xdr:clientData/>
  </xdr:twoCellAnchor>
  <xdr:twoCellAnchor>
    <xdr:from>
      <xdr:col>36</xdr:col>
      <xdr:colOff>276972</xdr:colOff>
      <xdr:row>0</xdr:row>
      <xdr:rowOff>124806</xdr:rowOff>
    </xdr:from>
    <xdr:to>
      <xdr:col>47</xdr:col>
      <xdr:colOff>569072</xdr:colOff>
      <xdr:row>18</xdr:row>
      <xdr:rowOff>59204</xdr:rowOff>
    </xdr:to>
    <xdr:sp macro="" textlink="">
      <xdr:nvSpPr>
        <xdr:cNvPr id="9" name="Rectangle: Rounded Corners 8">
          <a:extLst>
            <a:ext uri="{FF2B5EF4-FFF2-40B4-BE49-F238E27FC236}">
              <a16:creationId xmlns:a16="http://schemas.microsoft.com/office/drawing/2014/main" id="{5275B1A9-0E28-4FDB-ABF1-A2AD6DAA1013}"/>
            </a:ext>
          </a:extLst>
        </xdr:cNvPr>
        <xdr:cNvSpPr/>
      </xdr:nvSpPr>
      <xdr:spPr>
        <a:xfrm>
          <a:off x="21993972" y="124806"/>
          <a:ext cx="6927850" cy="336339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b="1">
              <a:solidFill>
                <a:schemeClr val="tx1"/>
              </a:solidFill>
              <a:latin typeface="+mn-lt"/>
              <a:cs typeface="Arial" panose="020B0604020202020204" pitchFamily="34" charset="0"/>
            </a:rPr>
            <a:t>ANALYSIS </a:t>
          </a:r>
          <a:r>
            <a:rPr lang="en-US" sz="800" b="0">
              <a:solidFill>
                <a:schemeClr val="tx1"/>
              </a:solidFill>
              <a:latin typeface="+mn-lt"/>
              <a:cs typeface="Arial" panose="020B0604020202020204" pitchFamily="34" charset="0"/>
            </a:rPr>
            <a:t>- </a:t>
          </a:r>
          <a:r>
            <a:rPr lang="en-US" sz="800" b="1" i="0" u="none" strike="noStrike">
              <a:solidFill>
                <a:schemeClr val="tx1"/>
              </a:solidFill>
              <a:effectLst/>
              <a:latin typeface="+mn-lt"/>
              <a:ea typeface="+mn-ea"/>
              <a:cs typeface="+mn-cs"/>
            </a:rPr>
            <a:t>Performance</a:t>
          </a:r>
          <a:r>
            <a:rPr lang="en-US" sz="800" b="1" i="0" u="none" strike="noStrike" baseline="0">
              <a:solidFill>
                <a:schemeClr val="tx1"/>
              </a:solidFill>
              <a:effectLst/>
              <a:latin typeface="+mn-lt"/>
              <a:ea typeface="+mn-ea"/>
              <a:cs typeface="+mn-cs"/>
            </a:rPr>
            <a:t> By State</a:t>
          </a:r>
          <a:endParaRPr lang="en-US" sz="800" b="1" baseline="0">
            <a:solidFill>
              <a:schemeClr val="tx1"/>
            </a:solidFill>
            <a:latin typeface="+mn-lt"/>
            <a:cs typeface="Arial" panose="020B0604020202020204" pitchFamily="34" charset="0"/>
          </a:endParaRPr>
        </a:p>
        <a:p>
          <a:pPr algn="l"/>
          <a:endParaRPr lang="en-US" sz="800" b="1" baseline="0">
            <a:solidFill>
              <a:schemeClr val="tx1"/>
            </a:solidFill>
            <a:latin typeface="+mn-lt"/>
            <a:cs typeface="Arial" panose="020B0604020202020204" pitchFamily="34" charset="0"/>
          </a:endParaRPr>
        </a:p>
        <a:p>
          <a:pPr algn="l"/>
          <a:r>
            <a:rPr lang="en-US" sz="800" b="1" baseline="0">
              <a:solidFill>
                <a:schemeClr val="tx1"/>
              </a:solidFill>
              <a:latin typeface="+mn-lt"/>
              <a:cs typeface="Arial" panose="020B0604020202020204" pitchFamily="34" charset="0"/>
            </a:rPr>
            <a:t>OBSERVATION</a:t>
          </a:r>
          <a:endParaRPr lang="en-US" sz="800" b="1" i="0" u="none" strike="noStrike" baseline="0">
            <a:solidFill>
              <a:schemeClr val="tx1"/>
            </a:solidFill>
            <a:effectLst/>
            <a:latin typeface="+mn-lt"/>
            <a:ea typeface="+mn-ea"/>
            <a:cs typeface="+mn-cs"/>
          </a:endParaRPr>
        </a:p>
        <a:p>
          <a:pPr algn="l"/>
          <a:r>
            <a:rPr lang="en-US" sz="800" b="0" i="0" u="none" strike="noStrike">
              <a:solidFill>
                <a:schemeClr val="tx1"/>
              </a:solidFill>
              <a:effectLst/>
              <a:latin typeface="+mn-lt"/>
              <a:ea typeface="+mn-ea"/>
              <a:cs typeface="+mn-cs"/>
            </a:rPr>
            <a:t>- New York holds the highest revenue spot at $67,180.50, displayed in the darkest shade on the map.</a:t>
          </a:r>
          <a:r>
            <a:rPr lang="en-US" sz="800">
              <a:solidFill>
                <a:schemeClr val="tx1"/>
              </a:solidFill>
            </a:rPr>
            <a:t> </a:t>
          </a:r>
          <a:br>
            <a:rPr lang="en-US" sz="800">
              <a:solidFill>
                <a:schemeClr val="tx1"/>
              </a:solidFill>
            </a:rPr>
          </a:br>
          <a:r>
            <a:rPr lang="en-US" sz="800">
              <a:solidFill>
                <a:schemeClr val="tx1"/>
              </a:solidFill>
            </a:rPr>
            <a:t>-  Oregon generates $50,208.35, a figure that places it just shy of Florida’s $50,344.78,</a:t>
          </a:r>
          <a:r>
            <a:rPr lang="en-US" sz="800" baseline="0">
              <a:solidFill>
                <a:schemeClr val="tx1"/>
              </a:solidFill>
            </a:rPr>
            <a:t> t</a:t>
          </a:r>
          <a:r>
            <a:rPr lang="en-US" sz="800">
              <a:solidFill>
                <a:schemeClr val="tx1"/>
              </a:solidFill>
            </a:rPr>
            <a:t>his narrow gap of only $136.43 suggests nearly identical performance in terms of revenue generation.</a:t>
          </a:r>
          <a:br>
            <a:rPr lang="en-US" sz="800">
              <a:solidFill>
                <a:schemeClr val="tx1"/>
              </a:solidFill>
            </a:rPr>
          </a:br>
          <a:r>
            <a:rPr lang="en-US" sz="800">
              <a:solidFill>
                <a:schemeClr val="tx1"/>
              </a:solidFill>
            </a:rPr>
            <a:t>- </a:t>
          </a:r>
          <a:r>
            <a:rPr lang="en-US" sz="800" b="0" i="0" u="none" strike="noStrike">
              <a:solidFill>
                <a:schemeClr val="tx1"/>
              </a:solidFill>
              <a:effectLst/>
              <a:latin typeface="+mn-lt"/>
              <a:ea typeface="+mn-ea"/>
              <a:cs typeface="+mn-cs"/>
            </a:rPr>
            <a:t>Oregon surprisingly outperforms California, generating $50,208.35, and is visually emphasized in a darker hue.</a:t>
          </a:r>
          <a:br>
            <a:rPr lang="en-US" sz="800" b="0" i="0" u="none" strike="noStrike">
              <a:solidFill>
                <a:schemeClr val="tx1"/>
              </a:solidFill>
              <a:effectLst/>
              <a:latin typeface="+mn-lt"/>
              <a:ea typeface="+mn-ea"/>
              <a:cs typeface="+mn-cs"/>
            </a:rPr>
          </a:br>
          <a:r>
            <a:rPr lang="en-US" sz="800" b="0" i="0" u="none" strike="noStrike">
              <a:solidFill>
                <a:schemeClr val="tx1"/>
              </a:solidFill>
              <a:effectLst/>
              <a:latin typeface="+mn-lt"/>
              <a:ea typeface="+mn-ea"/>
              <a:cs typeface="+mn-cs"/>
            </a:rPr>
            <a:t>-</a:t>
          </a:r>
          <a:r>
            <a:rPr lang="en-US" sz="800" b="0" i="0" u="none" strike="noStrike" baseline="0">
              <a:solidFill>
                <a:schemeClr val="tx1"/>
              </a:solidFill>
              <a:effectLst/>
              <a:latin typeface="+mn-lt"/>
              <a:ea typeface="+mn-ea"/>
              <a:cs typeface="+mn-cs"/>
            </a:rPr>
            <a:t> </a:t>
          </a:r>
          <a:r>
            <a:rPr lang="en-US" sz="800" b="0" i="0" u="none" strike="noStrike">
              <a:solidFill>
                <a:schemeClr val="tx1"/>
              </a:solidFill>
              <a:effectLst/>
              <a:latin typeface="+mn-lt"/>
              <a:ea typeface="+mn-ea"/>
              <a:cs typeface="+mn-cs"/>
            </a:rPr>
            <a:t>Washington and Tennessee also show strong numbers, both above $35,000, signaling high market performance.</a:t>
          </a:r>
          <a:r>
            <a:rPr lang="en-US" sz="800">
              <a:solidFill>
                <a:schemeClr val="tx1"/>
              </a:solidFill>
            </a:rPr>
            <a:t> </a:t>
          </a:r>
          <a:br>
            <a:rPr lang="en-US" sz="800">
              <a:solidFill>
                <a:schemeClr val="tx1"/>
              </a:solidFill>
            </a:rPr>
          </a:br>
          <a:r>
            <a:rPr lang="en-US" sz="800">
              <a:solidFill>
                <a:schemeClr val="tx1"/>
              </a:solidFill>
            </a:rPr>
            <a:t>- </a:t>
          </a:r>
          <a:r>
            <a:rPr lang="en-US" sz="800" b="0" i="0" u="none" strike="noStrike">
              <a:solidFill>
                <a:schemeClr val="tx1"/>
              </a:solidFill>
              <a:effectLst/>
              <a:latin typeface="+mn-lt"/>
              <a:ea typeface="+mn-ea"/>
              <a:cs typeface="+mn-cs"/>
            </a:rPr>
            <a:t>Utah with $32,530.60 stands out despite being a mid-sized market.</a:t>
          </a:r>
          <a:r>
            <a:rPr lang="en-US" sz="800">
              <a:solidFill>
                <a:schemeClr val="tx1"/>
              </a:solidFill>
            </a:rPr>
            <a:t> </a:t>
          </a:r>
          <a:br>
            <a:rPr lang="en-US" sz="800">
              <a:solidFill>
                <a:schemeClr val="tx1"/>
              </a:solidFill>
            </a:rPr>
          </a:br>
          <a:r>
            <a:rPr lang="en-US" sz="800">
              <a:solidFill>
                <a:schemeClr val="tx1"/>
              </a:solidFill>
            </a:rPr>
            <a:t>- </a:t>
          </a:r>
          <a:r>
            <a:rPr lang="en-US" sz="800" b="0" i="0" u="none" strike="noStrike">
              <a:solidFill>
                <a:schemeClr val="tx1"/>
              </a:solidFill>
              <a:effectLst/>
              <a:latin typeface="+mn-lt"/>
              <a:ea typeface="+mn-ea"/>
              <a:cs typeface="+mn-cs"/>
            </a:rPr>
            <a:t>California</a:t>
          </a:r>
          <a:r>
            <a:rPr lang="en-US" sz="800" b="0" i="0" u="none" strike="noStrike" baseline="0">
              <a:solidFill>
                <a:schemeClr val="tx1"/>
              </a:solidFill>
              <a:effectLst/>
              <a:latin typeface="+mn-lt"/>
              <a:ea typeface="+mn-ea"/>
              <a:cs typeface="+mn-cs"/>
            </a:rPr>
            <a:t> despite its big size more than Florida and Oregon from the map </a:t>
          </a:r>
          <a:r>
            <a:rPr lang="en-US" sz="800" b="0" i="0" u="none" strike="noStrike">
              <a:solidFill>
                <a:schemeClr val="tx1"/>
              </a:solidFill>
              <a:effectLst/>
              <a:latin typeface="+mn-lt"/>
              <a:ea typeface="+mn-ea"/>
              <a:cs typeface="+mn-cs"/>
            </a:rPr>
            <a:t>ranks lower than expected at $27,005.38, shown in a moderate shade.</a:t>
          </a:r>
          <a:r>
            <a:rPr lang="en-US" sz="800">
              <a:solidFill>
                <a:schemeClr val="tx1"/>
              </a:solidFill>
            </a:rPr>
            <a:t> </a:t>
          </a:r>
          <a:br>
            <a:rPr lang="en-US" sz="800">
              <a:solidFill>
                <a:schemeClr val="tx1"/>
              </a:solidFill>
            </a:rPr>
          </a:br>
          <a:r>
            <a:rPr lang="en-US" sz="800">
              <a:solidFill>
                <a:schemeClr val="tx1"/>
              </a:solidFill>
            </a:rPr>
            <a:t>-  </a:t>
          </a:r>
          <a:r>
            <a:rPr lang="en-US" sz="800" b="0" i="0" u="none" strike="noStrike">
              <a:solidFill>
                <a:schemeClr val="tx1"/>
              </a:solidFill>
              <a:effectLst/>
              <a:latin typeface="+mn-lt"/>
              <a:ea typeface="+mn-ea"/>
              <a:cs typeface="+mn-cs"/>
            </a:rPr>
            <a:t>Idaho, Nevada and Colorado are shaded lightest, each generating under $18,000.</a:t>
          </a:r>
          <a:r>
            <a:rPr lang="en-US" sz="800">
              <a:solidFill>
                <a:schemeClr val="tx1"/>
              </a:solidFill>
            </a:rPr>
            <a:t> </a:t>
          </a:r>
          <a:br>
            <a:rPr lang="en-US" sz="800">
              <a:solidFill>
                <a:schemeClr val="tx1"/>
              </a:solidFill>
            </a:rPr>
          </a:br>
          <a:br>
            <a:rPr lang="en-US" sz="800">
              <a:solidFill>
                <a:schemeClr val="tx1"/>
              </a:solidFill>
            </a:rPr>
          </a:br>
          <a:r>
            <a:rPr lang="en-US" sz="800" b="1" i="0" u="none" strike="noStrike" baseline="0">
              <a:solidFill>
                <a:schemeClr val="tx1"/>
              </a:solidFill>
              <a:effectLst/>
              <a:latin typeface="+mn-lt"/>
              <a:ea typeface="+mn-ea"/>
              <a:cs typeface="+mn-cs"/>
            </a:rPr>
            <a:t>PRE-INSIGHT</a:t>
          </a:r>
        </a:p>
        <a:p>
          <a:pPr algn="l"/>
          <a:r>
            <a:rPr lang="en-US" sz="800" b="0" i="0" u="none" strike="noStrike" baseline="0">
              <a:solidFill>
                <a:schemeClr val="tx1"/>
              </a:solidFill>
              <a:effectLst/>
              <a:latin typeface="+mn-lt"/>
              <a:ea typeface="+mn-ea"/>
              <a:cs typeface="+mn-cs"/>
            </a:rPr>
            <a:t>-  Oregon and Florida differ in population size judging from the map, industry focus, and regional culture. Yet their similar earnings point to equally effective strategies, possibly tailored to unique local strengths.</a:t>
          </a:r>
          <a:br>
            <a:rPr lang="en-US" sz="800" b="0" i="0" u="none" strike="noStrike" baseline="0">
              <a:solidFill>
                <a:schemeClr val="tx1"/>
              </a:solidFill>
              <a:effectLst/>
              <a:latin typeface="+mn-lt"/>
              <a:ea typeface="+mn-ea"/>
              <a:cs typeface="+mn-cs"/>
            </a:rPr>
          </a:br>
          <a:r>
            <a:rPr lang="en-US" sz="800" b="0" i="0" u="none" strike="noStrike" baseline="0">
              <a:solidFill>
                <a:schemeClr val="tx1"/>
              </a:solidFill>
              <a:effectLst/>
              <a:latin typeface="+mn-lt"/>
              <a:ea typeface="+mn-ea"/>
              <a:cs typeface="+mn-cs"/>
            </a:rPr>
            <a:t>-  The map pinpoints states like New York, Oregon, and Tennesse as top performers suggesting they may warrant continued investment and focused campaigns.</a:t>
          </a:r>
          <a:br>
            <a:rPr lang="en-US" sz="800" b="0" i="0" u="none" strike="noStrike" baseline="0">
              <a:solidFill>
                <a:schemeClr val="tx1"/>
              </a:solidFill>
              <a:effectLst/>
              <a:latin typeface="+mn-lt"/>
              <a:ea typeface="+mn-ea"/>
              <a:cs typeface="+mn-cs"/>
            </a:rPr>
          </a:br>
          <a:r>
            <a:rPr lang="en-US" sz="800" b="0" i="0" u="none" strike="noStrike" baseline="0">
              <a:solidFill>
                <a:schemeClr val="tx1"/>
              </a:solidFill>
              <a:effectLst/>
              <a:latin typeface="+mn-lt"/>
              <a:ea typeface="+mn-ea"/>
              <a:cs typeface="+mn-cs"/>
            </a:rPr>
            <a:t>- Oregon and Florida dominance over California could indicate an efficient local strategy or higher customer engagement in smaller markets.</a:t>
          </a:r>
          <a:br>
            <a:rPr lang="en-US" sz="800" b="0" i="0" u="none" strike="noStrike" baseline="0">
              <a:solidFill>
                <a:schemeClr val="tx1"/>
              </a:solidFill>
              <a:effectLst/>
              <a:latin typeface="+mn-lt"/>
              <a:ea typeface="+mn-ea"/>
              <a:cs typeface="+mn-cs"/>
            </a:rPr>
          </a:br>
          <a:r>
            <a:rPr lang="en-US" sz="800" b="0" i="0" u="none" strike="noStrike" baseline="0">
              <a:solidFill>
                <a:schemeClr val="tx1"/>
              </a:solidFill>
              <a:effectLst/>
              <a:latin typeface="+mn-lt"/>
              <a:ea typeface="+mn-ea"/>
              <a:cs typeface="+mn-cs"/>
            </a:rPr>
            <a:t>- The map confirms that high population doesn’t always equal high performance and California’s middling rank supports this.</a:t>
          </a:r>
          <a:br>
            <a:rPr lang="en-US" sz="800" b="0" i="0" u="none" strike="noStrike" baseline="0">
              <a:solidFill>
                <a:schemeClr val="tx1"/>
              </a:solidFill>
              <a:effectLst/>
              <a:latin typeface="+mn-lt"/>
              <a:ea typeface="+mn-ea"/>
              <a:cs typeface="+mn-cs"/>
            </a:rPr>
          </a:br>
          <a:r>
            <a:rPr lang="en-US" sz="800" b="0" i="0" u="none" strike="noStrike" baseline="0">
              <a:solidFill>
                <a:schemeClr val="tx1"/>
              </a:solidFill>
              <a:effectLst/>
              <a:latin typeface="+mn-lt"/>
              <a:ea typeface="+mn-ea"/>
              <a:cs typeface="+mn-cs"/>
            </a:rPr>
            <a:t>-  Highlighted low-revenue areas offer insight into where brand awareness or channel diversification could be boosted.</a:t>
          </a:r>
        </a:p>
        <a:p>
          <a:pPr algn="l"/>
          <a:r>
            <a:rPr lang="en-US" sz="800" b="0" i="0" u="none" strike="noStrike" baseline="0">
              <a:solidFill>
                <a:schemeClr val="tx1"/>
              </a:solidFill>
              <a:effectLst/>
              <a:latin typeface="+mn-lt"/>
              <a:ea typeface="+mn-ea"/>
              <a:cs typeface="+mn-cs"/>
            </a:rPr>
            <a:t>-  The map introduces hot spot zones that can be used to guide regional leadership or territory management e.g New York, Oregon and Florida.</a:t>
          </a:r>
        </a:p>
      </xdr:txBody>
    </xdr:sp>
    <xdr:clientData/>
  </xdr:twoCellAnchor>
  <xdr:twoCellAnchor>
    <xdr:from>
      <xdr:col>36</xdr:col>
      <xdr:colOff>301662</xdr:colOff>
      <xdr:row>18</xdr:row>
      <xdr:rowOff>142406</xdr:rowOff>
    </xdr:from>
    <xdr:to>
      <xdr:col>47</xdr:col>
      <xdr:colOff>585994</xdr:colOff>
      <xdr:row>36</xdr:row>
      <xdr:rowOff>69296</xdr:rowOff>
    </xdr:to>
    <xdr:sp macro="" textlink="">
      <xdr:nvSpPr>
        <xdr:cNvPr id="10" name="Rectangle: Rounded Corners 9">
          <a:extLst>
            <a:ext uri="{FF2B5EF4-FFF2-40B4-BE49-F238E27FC236}">
              <a16:creationId xmlns:a16="http://schemas.microsoft.com/office/drawing/2014/main" id="{84B11682-3EE7-47BE-9186-849E93D99052}"/>
            </a:ext>
          </a:extLst>
        </xdr:cNvPr>
        <xdr:cNvSpPr/>
      </xdr:nvSpPr>
      <xdr:spPr>
        <a:xfrm>
          <a:off x="22209162" y="3476156"/>
          <a:ext cx="6978290" cy="3260640"/>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b="1">
              <a:solidFill>
                <a:schemeClr val="bg1"/>
              </a:solidFill>
              <a:latin typeface="+mn-lt"/>
              <a:cs typeface="Arial" panose="020B0604020202020204" pitchFamily="34" charset="0"/>
            </a:rPr>
            <a:t>ANALYSIS - </a:t>
          </a:r>
          <a:r>
            <a:rPr lang="en-US" sz="800" b="1" i="0" u="none" strike="noStrike">
              <a:solidFill>
                <a:schemeClr val="lt1"/>
              </a:solidFill>
              <a:effectLst/>
              <a:latin typeface="+mn-lt"/>
              <a:ea typeface="+mn-ea"/>
              <a:cs typeface="+mn-cs"/>
            </a:rPr>
            <a:t>Top 6 Ship cities by Revenue</a:t>
          </a:r>
          <a:endParaRPr lang="en-US" sz="800" b="1" baseline="0">
            <a:solidFill>
              <a:schemeClr val="bg1"/>
            </a:solidFill>
            <a:latin typeface="+mn-lt"/>
            <a:cs typeface="Arial" panose="020B0604020202020204" pitchFamily="34" charset="0"/>
          </a:endParaRPr>
        </a:p>
        <a:p>
          <a:pPr algn="l"/>
          <a:endParaRPr lang="en-US" sz="800" b="1" baseline="0">
            <a:solidFill>
              <a:schemeClr val="bg1"/>
            </a:solidFill>
            <a:latin typeface="+mn-lt"/>
            <a:cs typeface="Arial" panose="020B0604020202020204" pitchFamily="34" charset="0"/>
          </a:endParaRPr>
        </a:p>
        <a:p>
          <a:pPr algn="l"/>
          <a:r>
            <a:rPr lang="en-US" sz="800" b="1" baseline="0">
              <a:solidFill>
                <a:schemeClr val="bg1"/>
              </a:solidFill>
              <a:latin typeface="+mn-lt"/>
              <a:cs typeface="Arial" panose="020B0604020202020204" pitchFamily="34" charset="0"/>
            </a:rPr>
            <a:t>OBSERVATION</a:t>
          </a:r>
        </a:p>
        <a:p>
          <a:pPr algn="l"/>
          <a:r>
            <a:rPr lang="en-US" sz="1100" b="0" i="0" u="none" strike="noStrike">
              <a:solidFill>
                <a:schemeClr val="lt1"/>
              </a:solidFill>
              <a:effectLst/>
              <a:latin typeface="+mn-lt"/>
              <a:ea typeface="+mn-ea"/>
              <a:cs typeface="+mn-cs"/>
            </a:rPr>
            <a:t>- New York tops the chart, pulling in just over $67,000 noticeably ahead of the other ship cities.</a:t>
          </a:r>
          <a:r>
            <a:rPr lang="en-US" sz="800"/>
            <a:t> </a:t>
          </a:r>
          <a:br>
            <a:rPr lang="en-US" sz="800"/>
          </a:br>
          <a:r>
            <a:rPr lang="en-US" sz="800"/>
            <a:t>- </a:t>
          </a:r>
          <a:r>
            <a:rPr lang="en-US" sz="1100" b="0" i="0" u="none" strike="noStrike">
              <a:solidFill>
                <a:schemeClr val="lt1"/>
              </a:solidFill>
              <a:effectLst/>
              <a:latin typeface="+mn-lt"/>
              <a:ea typeface="+mn-ea"/>
              <a:cs typeface="+mn-cs"/>
            </a:rPr>
            <a:t>What</a:t>
          </a:r>
          <a:r>
            <a:rPr lang="en-US" sz="1100" b="0" i="0" u="none" strike="noStrike" baseline="0">
              <a:solidFill>
                <a:schemeClr val="lt1"/>
              </a:solidFill>
              <a:effectLst/>
              <a:latin typeface="+mn-lt"/>
              <a:ea typeface="+mn-ea"/>
              <a:cs typeface="+mn-cs"/>
            </a:rPr>
            <a:t> is</a:t>
          </a:r>
          <a:r>
            <a:rPr lang="en-US" sz="1100" b="0" i="0" u="none" strike="noStrike">
              <a:solidFill>
                <a:schemeClr val="lt1"/>
              </a:solidFill>
              <a:effectLst/>
              <a:latin typeface="+mn-lt"/>
              <a:ea typeface="+mn-ea"/>
              <a:cs typeface="+mn-cs"/>
            </a:rPr>
            <a:t> striking is how Portland and Miami are neck and neck, both hovering around $50,000, with a marginal difference of under $65 shipping revenues generated between them.</a:t>
          </a:r>
          <a:r>
            <a:rPr lang="en-US" sz="800"/>
            <a:t> </a:t>
          </a:r>
          <a:br>
            <a:rPr lang="en-US" sz="800"/>
          </a:br>
          <a:r>
            <a:rPr lang="en-US" sz="800"/>
            <a:t>- </a:t>
          </a:r>
          <a:r>
            <a:rPr lang="en-US" sz="1100" b="0" i="0" u="none" strike="noStrike">
              <a:solidFill>
                <a:schemeClr val="lt1"/>
              </a:solidFill>
              <a:effectLst/>
              <a:latin typeface="+mn-lt"/>
              <a:ea typeface="+mn-ea"/>
              <a:cs typeface="+mn-cs"/>
            </a:rPr>
            <a:t>Memphis, Chicago, and Milwaukee round out the list with decreasing figures, but each still shows solid performance above $37,000 shipping</a:t>
          </a:r>
          <a:r>
            <a:rPr lang="en-US" sz="1100" b="0" i="0" u="none" strike="noStrike" baseline="0">
              <a:solidFill>
                <a:schemeClr val="lt1"/>
              </a:solidFill>
              <a:effectLst/>
              <a:latin typeface="+mn-lt"/>
              <a:ea typeface="+mn-ea"/>
              <a:cs typeface="+mn-cs"/>
            </a:rPr>
            <a:t> revenue generated</a:t>
          </a:r>
          <a:r>
            <a:rPr lang="en-US" sz="1100" b="0" i="0" u="none" strike="noStrike">
              <a:solidFill>
                <a:schemeClr val="lt1"/>
              </a:solidFill>
              <a:effectLst/>
              <a:latin typeface="+mn-lt"/>
              <a:ea typeface="+mn-ea"/>
              <a:cs typeface="+mn-cs"/>
            </a:rPr>
            <a:t>.</a:t>
          </a:r>
          <a:r>
            <a:rPr lang="en-US" sz="800"/>
            <a:t> </a:t>
          </a:r>
          <a:br>
            <a:rPr lang="en-US" sz="800"/>
          </a:br>
          <a:r>
            <a:rPr lang="en-US" sz="800"/>
            <a:t>- </a:t>
          </a:r>
          <a:r>
            <a:rPr lang="en-US" sz="1100" b="0" i="0" u="none" strike="noStrike">
              <a:solidFill>
                <a:schemeClr val="lt1"/>
              </a:solidFill>
              <a:effectLst/>
              <a:latin typeface="+mn-lt"/>
              <a:ea typeface="+mn-ea"/>
              <a:cs typeface="+mn-cs"/>
            </a:rPr>
            <a:t>The chart creates a natural ranking but the gaps aren’t huge, suggesting a tight competitive field across</a:t>
          </a:r>
          <a:r>
            <a:rPr lang="en-US" sz="1100" b="0" i="0" u="none" strike="noStrike" baseline="0">
              <a:solidFill>
                <a:schemeClr val="lt1"/>
              </a:solidFill>
              <a:effectLst/>
              <a:latin typeface="+mn-lt"/>
              <a:ea typeface="+mn-ea"/>
              <a:cs typeface="+mn-cs"/>
            </a:rPr>
            <a:t> ship </a:t>
          </a:r>
          <a:r>
            <a:rPr lang="en-US" sz="1100" b="0" i="0" u="none" strike="noStrike">
              <a:solidFill>
                <a:schemeClr val="lt1"/>
              </a:solidFill>
              <a:effectLst/>
              <a:latin typeface="+mn-lt"/>
              <a:ea typeface="+mn-ea"/>
              <a:cs typeface="+mn-cs"/>
            </a:rPr>
            <a:t>cities.</a:t>
          </a:r>
          <a:endParaRPr lang="en-US" sz="800" b="1" i="0" u="none" strike="noStrike" baseline="0">
            <a:solidFill>
              <a:schemeClr val="bg1"/>
            </a:solidFill>
            <a:effectLst/>
            <a:latin typeface="+mn-lt"/>
            <a:ea typeface="+mn-ea"/>
            <a:cs typeface="+mn-cs"/>
          </a:endParaRPr>
        </a:p>
        <a:p>
          <a:pPr algn="l"/>
          <a:endParaRPr lang="en-US" sz="800" b="0" i="0" u="none" strike="noStrike" baseline="0">
            <a:solidFill>
              <a:schemeClr val="bg1"/>
            </a:solidFill>
            <a:effectLst/>
            <a:latin typeface="+mn-lt"/>
            <a:ea typeface="+mn-ea"/>
            <a:cs typeface="+mn-cs"/>
          </a:endParaRPr>
        </a:p>
        <a:p>
          <a:pPr algn="l"/>
          <a:endParaRPr lang="en-US" sz="800" b="0" i="0" u="none" strike="noStrike" baseline="0">
            <a:solidFill>
              <a:schemeClr val="bg1"/>
            </a:solidFill>
            <a:effectLst/>
            <a:latin typeface="+mn-lt"/>
            <a:ea typeface="+mn-ea"/>
            <a:cs typeface="+mn-cs"/>
          </a:endParaRPr>
        </a:p>
        <a:p>
          <a:pPr algn="l"/>
          <a:r>
            <a:rPr lang="en-US" sz="800" b="1" i="0" u="none" strike="noStrike" baseline="0">
              <a:solidFill>
                <a:schemeClr val="bg1"/>
              </a:solidFill>
              <a:effectLst/>
              <a:latin typeface="+mn-lt"/>
              <a:ea typeface="+mn-ea"/>
              <a:cs typeface="+mn-cs"/>
            </a:rPr>
            <a:t>PRE-INSIGHT</a:t>
          </a:r>
          <a:br>
            <a:rPr lang="en-US" sz="800" b="1" i="0" u="none" strike="noStrike" baseline="0">
              <a:solidFill>
                <a:schemeClr val="bg1"/>
              </a:solidFill>
              <a:effectLst/>
              <a:latin typeface="+mn-lt"/>
              <a:ea typeface="+mn-ea"/>
              <a:cs typeface="+mn-cs"/>
            </a:rPr>
          </a:br>
          <a:r>
            <a:rPr lang="en-US" sz="800" b="1" i="0" u="none" strike="noStrike" baseline="0">
              <a:solidFill>
                <a:schemeClr val="bg1"/>
              </a:solidFill>
              <a:effectLst/>
              <a:latin typeface="+mn-lt"/>
              <a:ea typeface="+mn-ea"/>
              <a:cs typeface="+mn-cs"/>
            </a:rPr>
            <a:t>-  </a:t>
          </a:r>
          <a:r>
            <a:rPr lang="en-US" sz="1100" b="0" i="0" u="none" strike="noStrike">
              <a:solidFill>
                <a:schemeClr val="lt1"/>
              </a:solidFill>
              <a:effectLst/>
              <a:latin typeface="+mn-lt"/>
              <a:ea typeface="+mn-ea"/>
              <a:cs typeface="+mn-cs"/>
            </a:rPr>
            <a:t>The close numbers between Portland and Miami hint at similar levels of operational efficiency or market demand.</a:t>
          </a:r>
          <a:br>
            <a:rPr lang="en-US" sz="1100" b="0" i="0" u="none" strike="noStrike">
              <a:solidFill>
                <a:schemeClr val="lt1"/>
              </a:solidFill>
              <a:effectLst/>
              <a:latin typeface="+mn-lt"/>
              <a:ea typeface="+mn-ea"/>
              <a:cs typeface="+mn-cs"/>
            </a:rPr>
          </a:br>
          <a:r>
            <a:rPr lang="en-US" sz="800"/>
            <a:t> - </a:t>
          </a:r>
          <a:r>
            <a:rPr lang="en-US" sz="1100" b="0" i="0" u="none" strike="noStrike">
              <a:solidFill>
                <a:schemeClr val="lt1"/>
              </a:solidFill>
              <a:effectLst/>
              <a:latin typeface="+mn-lt"/>
              <a:ea typeface="+mn-ea"/>
              <a:cs typeface="+mn-cs"/>
            </a:rPr>
            <a:t>New York’s commanding lead may reflect better infrastructure, market penetration, or brand visibility.</a:t>
          </a:r>
          <a:br>
            <a:rPr lang="en-US" sz="1100" b="0" i="0" u="none" strike="noStrike">
              <a:solidFill>
                <a:schemeClr val="lt1"/>
              </a:solidFill>
              <a:effectLst/>
              <a:latin typeface="+mn-lt"/>
              <a:ea typeface="+mn-ea"/>
              <a:cs typeface="+mn-cs"/>
            </a:rPr>
          </a:br>
          <a:r>
            <a:rPr lang="en-US" sz="1100" b="0" i="0" u="none" strike="noStrike">
              <a:solidFill>
                <a:schemeClr val="lt1"/>
              </a:solidFill>
              <a:effectLst/>
              <a:latin typeface="+mn-lt"/>
              <a:ea typeface="+mn-ea"/>
              <a:cs typeface="+mn-cs"/>
            </a:rPr>
            <a:t>-</a:t>
          </a:r>
          <a:r>
            <a:rPr lang="en-US" sz="800"/>
            <a:t> </a:t>
          </a:r>
          <a:r>
            <a:rPr lang="en-US" sz="1100" b="0" i="0" u="none" strike="noStrike">
              <a:solidFill>
                <a:schemeClr val="lt1"/>
              </a:solidFill>
              <a:effectLst/>
              <a:latin typeface="+mn-lt"/>
              <a:ea typeface="+mn-ea"/>
              <a:cs typeface="+mn-cs"/>
            </a:rPr>
            <a:t>Memphis and Milwaukee performing decently suggests potential for scaling operations in less saturated markets.</a:t>
          </a:r>
          <a:br>
            <a:rPr lang="en-US" sz="1100" b="0" i="0" u="none" strike="noStrike">
              <a:solidFill>
                <a:schemeClr val="lt1"/>
              </a:solidFill>
              <a:effectLst/>
              <a:latin typeface="+mn-lt"/>
              <a:ea typeface="+mn-ea"/>
              <a:cs typeface="+mn-cs"/>
            </a:rPr>
          </a:br>
          <a:r>
            <a:rPr lang="en-US" sz="1100" b="0" i="0" u="none" strike="noStrike">
              <a:solidFill>
                <a:schemeClr val="lt1"/>
              </a:solidFill>
              <a:effectLst/>
              <a:latin typeface="+mn-lt"/>
              <a:ea typeface="+mn-ea"/>
              <a:cs typeface="+mn-cs"/>
            </a:rPr>
            <a:t>- It could be worthwhile for the other ship cities to examine New York’s approach and consider adopting its most effective strategies.</a:t>
          </a:r>
          <a:endParaRPr lang="en-US" sz="800" b="1" i="0" u="none" strike="noStrike" baseline="0">
            <a:solidFill>
              <a:schemeClr val="bg1"/>
            </a:solidFill>
            <a:effectLst/>
            <a:latin typeface="+mn-lt"/>
            <a:ea typeface="+mn-ea"/>
            <a:cs typeface="+mn-cs"/>
          </a:endParaRPr>
        </a:p>
        <a:p>
          <a:pPr algn="l"/>
          <a:endParaRPr lang="en-US" sz="800" b="0" i="0" u="none" strike="noStrike" baseline="0">
            <a:solidFill>
              <a:schemeClr val="bg1"/>
            </a:solidFill>
            <a:effectLst/>
            <a:latin typeface="+mn-lt"/>
            <a:ea typeface="+mn-ea"/>
            <a:cs typeface="+mn-cs"/>
          </a:endParaRPr>
        </a:p>
      </xdr:txBody>
    </xdr:sp>
    <xdr:clientData/>
  </xdr:twoCellAnchor>
  <xdr:twoCellAnchor>
    <xdr:from>
      <xdr:col>48</xdr:col>
      <xdr:colOff>127740</xdr:colOff>
      <xdr:row>0</xdr:row>
      <xdr:rowOff>83145</xdr:rowOff>
    </xdr:from>
    <xdr:to>
      <xdr:col>59</xdr:col>
      <xdr:colOff>405696</xdr:colOff>
      <xdr:row>18</xdr:row>
      <xdr:rowOff>17639</xdr:rowOff>
    </xdr:to>
    <xdr:sp macro="" textlink="">
      <xdr:nvSpPr>
        <xdr:cNvPr id="11" name="Rectangle: Rounded Corners 10">
          <a:extLst>
            <a:ext uri="{FF2B5EF4-FFF2-40B4-BE49-F238E27FC236}">
              <a16:creationId xmlns:a16="http://schemas.microsoft.com/office/drawing/2014/main" id="{14A30FC6-C2E9-4E19-9741-6671B755C076}"/>
            </a:ext>
          </a:extLst>
        </xdr:cNvPr>
        <xdr:cNvSpPr/>
      </xdr:nvSpPr>
      <xdr:spPr>
        <a:xfrm>
          <a:off x="29337740" y="83145"/>
          <a:ext cx="6971914" cy="3268244"/>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b="1">
              <a:solidFill>
                <a:schemeClr val="bg1"/>
              </a:solidFill>
              <a:latin typeface="Calibri (Body)"/>
              <a:cs typeface="Arial" panose="020B0604020202020204" pitchFamily="34" charset="0"/>
            </a:rPr>
            <a:t>ANALYSIS - </a:t>
          </a:r>
          <a:r>
            <a:rPr lang="en-US" sz="800" b="1" i="0" u="none" strike="noStrike">
              <a:solidFill>
                <a:schemeClr val="lt1"/>
              </a:solidFill>
              <a:effectLst/>
              <a:latin typeface="Calibri (Body)"/>
              <a:ea typeface="+mn-ea"/>
              <a:cs typeface="+mn-cs"/>
            </a:rPr>
            <a:t>Top Cities By Revenue</a:t>
          </a:r>
          <a:endParaRPr lang="en-US" sz="800" b="1" baseline="0">
            <a:solidFill>
              <a:schemeClr val="bg1"/>
            </a:solidFill>
            <a:latin typeface="Calibri (Body)"/>
            <a:cs typeface="Arial" panose="020B0604020202020204" pitchFamily="34" charset="0"/>
          </a:endParaRPr>
        </a:p>
        <a:p>
          <a:pPr algn="l"/>
          <a:endParaRPr lang="en-US" sz="800" b="1" baseline="0">
            <a:solidFill>
              <a:schemeClr val="bg1"/>
            </a:solidFill>
            <a:latin typeface="Calibri (Body)"/>
            <a:cs typeface="Arial" panose="020B0604020202020204" pitchFamily="34" charset="0"/>
          </a:endParaRPr>
        </a:p>
        <a:p>
          <a:pPr algn="l"/>
          <a:r>
            <a:rPr lang="en-US" sz="800" b="1" baseline="0">
              <a:solidFill>
                <a:schemeClr val="bg1"/>
              </a:solidFill>
              <a:latin typeface="Calibri (Body)"/>
              <a:cs typeface="Arial" panose="020B0604020202020204" pitchFamily="34" charset="0"/>
            </a:rPr>
            <a:t>OBSERVATION</a:t>
          </a:r>
        </a:p>
        <a:p>
          <a:pPr algn="l"/>
          <a:r>
            <a:rPr lang="en-US" sz="800" b="0" i="0" u="none" strike="noStrike">
              <a:solidFill>
                <a:schemeClr val="lt1"/>
              </a:solidFill>
              <a:effectLst/>
              <a:latin typeface="Calibri (Body)"/>
              <a:ea typeface="+mn-ea"/>
              <a:cs typeface="+mn-cs"/>
            </a:rPr>
            <a:t>- New York is clearly outperforming other cities by a wide margin, pulling in over $67,000 in revenue  a figure that doesn’t just lead but sets the pace.</a:t>
          </a:r>
          <a:br>
            <a:rPr lang="en-US" sz="800" b="0" i="0" u="none" strike="noStrike">
              <a:solidFill>
                <a:schemeClr val="lt1"/>
              </a:solidFill>
              <a:effectLst/>
              <a:latin typeface="Calibri (Body)"/>
              <a:ea typeface="+mn-ea"/>
              <a:cs typeface="+mn-cs"/>
            </a:rPr>
          </a:br>
          <a:r>
            <a:rPr lang="en-US" sz="800" b="0" i="0" u="none" strike="noStrike">
              <a:solidFill>
                <a:schemeClr val="lt1"/>
              </a:solidFill>
              <a:effectLst/>
              <a:latin typeface="Calibri (Body)"/>
              <a:ea typeface="+mn-ea"/>
              <a:cs typeface="+mn-cs"/>
            </a:rPr>
            <a:t>-</a:t>
          </a:r>
          <a:r>
            <a:rPr lang="en-US" sz="800">
              <a:latin typeface="Calibri (Body)"/>
            </a:rPr>
            <a:t> </a:t>
          </a:r>
          <a:r>
            <a:rPr lang="en-US" sz="800" b="0" i="0" u="none" strike="noStrike">
              <a:solidFill>
                <a:schemeClr val="lt1"/>
              </a:solidFill>
              <a:effectLst/>
              <a:latin typeface="Calibri (Body)"/>
              <a:ea typeface="+mn-ea"/>
              <a:cs typeface="+mn-cs"/>
            </a:rPr>
            <a:t>Portland and Miami present an interesting rivalry, sitting almost shoulder-to-shoulder at the $50,000 mark, with a difference that’s barely a blip  less than a $65 gap.</a:t>
          </a:r>
          <a:r>
            <a:rPr lang="en-US" sz="800">
              <a:latin typeface="Calibri (Body)"/>
            </a:rPr>
            <a:t> </a:t>
          </a:r>
          <a:br>
            <a:rPr lang="en-US" sz="800">
              <a:latin typeface="Calibri (Body)"/>
            </a:rPr>
          </a:br>
          <a:r>
            <a:rPr lang="en-US" sz="800">
              <a:latin typeface="Calibri (Body)"/>
            </a:rPr>
            <a:t>- </a:t>
          </a:r>
          <a:r>
            <a:rPr lang="en-US" sz="800" b="0" i="0" u="none" strike="noStrike">
              <a:solidFill>
                <a:schemeClr val="lt1"/>
              </a:solidFill>
              <a:effectLst/>
              <a:latin typeface="Calibri (Body)"/>
              <a:ea typeface="+mn-ea"/>
              <a:cs typeface="+mn-cs"/>
            </a:rPr>
            <a:t>Memphis and Chicago fall notably behind, but not so alarmingly, holding solid ground in the low-to-md $40,000 range  respectable, though evidently outpaced.</a:t>
          </a:r>
          <a:r>
            <a:rPr lang="en-US" sz="800">
              <a:latin typeface="Calibri (Body)"/>
            </a:rPr>
            <a:t> </a:t>
          </a:r>
          <a:endParaRPr lang="en-US" sz="800" b="0" i="0" u="none" strike="noStrike" baseline="0">
            <a:solidFill>
              <a:schemeClr val="bg1"/>
            </a:solidFill>
            <a:effectLst/>
            <a:latin typeface="Calibri (Body)"/>
            <a:ea typeface="+mn-ea"/>
            <a:cs typeface="+mn-cs"/>
          </a:endParaRPr>
        </a:p>
        <a:p>
          <a:pPr algn="l"/>
          <a:endParaRPr lang="en-US" sz="800" b="0" i="0" u="none" strike="noStrike" baseline="0">
            <a:solidFill>
              <a:schemeClr val="bg1"/>
            </a:solidFill>
            <a:effectLst/>
            <a:latin typeface="Calibri (Body)"/>
            <a:ea typeface="+mn-ea"/>
            <a:cs typeface="+mn-cs"/>
          </a:endParaRPr>
        </a:p>
        <a:p>
          <a:pPr algn="l"/>
          <a:endParaRPr lang="en-US" sz="800" b="0" i="0" u="none" strike="noStrike" baseline="0">
            <a:solidFill>
              <a:schemeClr val="bg1"/>
            </a:solidFill>
            <a:effectLst/>
            <a:latin typeface="Calibri (Body)"/>
            <a:ea typeface="+mn-ea"/>
            <a:cs typeface="+mn-cs"/>
          </a:endParaRPr>
        </a:p>
        <a:p>
          <a:pPr algn="l"/>
          <a:r>
            <a:rPr lang="en-US" sz="800" b="1" i="0" u="none" strike="noStrike" baseline="0">
              <a:solidFill>
                <a:schemeClr val="bg1"/>
              </a:solidFill>
              <a:effectLst/>
              <a:latin typeface="Calibri (Body)"/>
              <a:ea typeface="+mn-ea"/>
              <a:cs typeface="+mn-cs"/>
            </a:rPr>
            <a:t>PRE-INSIGHT</a:t>
          </a:r>
        </a:p>
        <a:p>
          <a:pPr algn="l"/>
          <a:r>
            <a:rPr lang="en-US" sz="800" b="0" i="0" u="none" strike="noStrike">
              <a:solidFill>
                <a:schemeClr val="lt1"/>
              </a:solidFill>
              <a:effectLst/>
              <a:latin typeface="Calibri (Body)"/>
              <a:ea typeface="+mn-ea"/>
              <a:cs typeface="+mn-cs"/>
            </a:rPr>
            <a:t>- New York’s dominance likely reflects more than just sheer market size  it could point to streamlined supply chains, stronger positioning, better customer retention, or even pricing power.</a:t>
          </a:r>
          <a:br>
            <a:rPr lang="en-US" sz="800" b="0" i="0" u="none" strike="noStrike">
              <a:solidFill>
                <a:schemeClr val="lt1"/>
              </a:solidFill>
              <a:effectLst/>
              <a:latin typeface="Calibri (Body)"/>
              <a:ea typeface="+mn-ea"/>
              <a:cs typeface="+mn-cs"/>
            </a:rPr>
          </a:br>
          <a:r>
            <a:rPr lang="en-US" sz="800" b="0" i="0" u="none" strike="noStrike">
              <a:solidFill>
                <a:schemeClr val="lt1"/>
              </a:solidFill>
              <a:effectLst/>
              <a:latin typeface="Calibri (Body)"/>
              <a:ea typeface="+mn-ea"/>
              <a:cs typeface="+mn-cs"/>
            </a:rPr>
            <a:t>-</a:t>
          </a:r>
          <a:r>
            <a:rPr lang="en-US" sz="800">
              <a:latin typeface="Calibri (Body)"/>
            </a:rPr>
            <a:t> </a:t>
          </a:r>
          <a:r>
            <a:rPr lang="en-US" sz="800" b="0" i="0" u="none" strike="noStrike">
              <a:solidFill>
                <a:schemeClr val="lt1"/>
              </a:solidFill>
              <a:effectLst/>
              <a:latin typeface="Calibri (Body)"/>
              <a:ea typeface="+mn-ea"/>
              <a:cs typeface="+mn-cs"/>
            </a:rPr>
            <a:t>The near</a:t>
          </a:r>
          <a:r>
            <a:rPr lang="en-US" sz="800" b="0" i="0" u="none" strike="noStrike" baseline="0">
              <a:solidFill>
                <a:schemeClr val="lt1"/>
              </a:solidFill>
              <a:effectLst/>
              <a:latin typeface="Calibri (Body)"/>
              <a:ea typeface="+mn-ea"/>
              <a:cs typeface="+mn-cs"/>
            </a:rPr>
            <a:t> </a:t>
          </a:r>
          <a:r>
            <a:rPr lang="en-US" sz="800" b="0" i="0" u="none" strike="noStrike">
              <a:solidFill>
                <a:schemeClr val="lt1"/>
              </a:solidFill>
              <a:effectLst/>
              <a:latin typeface="Calibri (Body)"/>
              <a:ea typeface="+mn-ea"/>
              <a:cs typeface="+mn-cs"/>
            </a:rPr>
            <a:t>identical numbers from Portland and Miami suggest an underlying parity in either customer demand or operational</a:t>
          </a:r>
          <a:r>
            <a:rPr lang="en-US" sz="800" b="0" i="0" u="none" strike="noStrike" baseline="0">
              <a:solidFill>
                <a:schemeClr val="lt1"/>
              </a:solidFill>
              <a:effectLst/>
              <a:latin typeface="Calibri (Body)"/>
              <a:ea typeface="+mn-ea"/>
              <a:cs typeface="+mn-cs"/>
            </a:rPr>
            <a:t> method</a:t>
          </a:r>
          <a:r>
            <a:rPr lang="en-US" sz="800" b="0" i="0" u="none" strike="noStrike">
              <a:solidFill>
                <a:schemeClr val="lt1"/>
              </a:solidFill>
              <a:effectLst/>
              <a:latin typeface="Calibri (Body)"/>
              <a:ea typeface="+mn-ea"/>
              <a:cs typeface="+mn-cs"/>
            </a:rPr>
            <a:t>.</a:t>
          </a:r>
          <a:r>
            <a:rPr lang="en-US" sz="800">
              <a:latin typeface="Calibri (Body)"/>
            </a:rPr>
            <a:t> </a:t>
          </a:r>
          <a:br>
            <a:rPr lang="en-US" sz="800">
              <a:latin typeface="Calibri (Body)"/>
            </a:rPr>
          </a:br>
          <a:r>
            <a:rPr lang="en-US" sz="800">
              <a:latin typeface="Calibri (Body)"/>
            </a:rPr>
            <a:t>- </a:t>
          </a:r>
          <a:r>
            <a:rPr lang="en-US" sz="800" b="0" i="0" u="none" strike="noStrike">
              <a:solidFill>
                <a:schemeClr val="lt1"/>
              </a:solidFill>
              <a:effectLst/>
              <a:latin typeface="Calibri (Body)"/>
              <a:ea typeface="+mn-ea"/>
              <a:cs typeface="+mn-cs"/>
            </a:rPr>
            <a:t>Memphis and Chicago, while trailing, should not be overlooked. Their current revenue levels could reflect untapped growth areas or underserved markets. </a:t>
          </a:r>
          <a:br>
            <a:rPr lang="en-US" sz="800" b="0" i="0" u="none" strike="noStrike">
              <a:solidFill>
                <a:schemeClr val="lt1"/>
              </a:solidFill>
              <a:effectLst/>
              <a:latin typeface="Calibri (Body)"/>
              <a:ea typeface="+mn-ea"/>
              <a:cs typeface="+mn-cs"/>
            </a:rPr>
          </a:br>
          <a:r>
            <a:rPr lang="en-US" sz="800" b="0" i="0" u="none" strike="noStrike">
              <a:solidFill>
                <a:schemeClr val="lt1"/>
              </a:solidFill>
              <a:effectLst/>
              <a:latin typeface="Calibri (Body)"/>
              <a:ea typeface="+mn-ea"/>
              <a:cs typeface="+mn-cs"/>
            </a:rPr>
            <a:t>- With the right interventions  be it marketing, logistics, or community engagement they could see transformative gains.</a:t>
          </a:r>
          <a:r>
            <a:rPr lang="en-US" sz="800">
              <a:latin typeface="Calibri (Body)"/>
            </a:rPr>
            <a:t> </a:t>
          </a:r>
          <a:br>
            <a:rPr lang="en-US" sz="800" b="0" i="0" u="none" strike="noStrike">
              <a:solidFill>
                <a:schemeClr val="lt1"/>
              </a:solidFill>
              <a:effectLst/>
              <a:latin typeface="Calibri (Body)"/>
              <a:ea typeface="+mn-ea"/>
              <a:cs typeface="+mn-cs"/>
            </a:rPr>
          </a:br>
          <a:r>
            <a:rPr lang="en-US" sz="800" b="0" i="0" u="none" strike="noStrike">
              <a:solidFill>
                <a:schemeClr val="lt1"/>
              </a:solidFill>
              <a:effectLst/>
              <a:latin typeface="Calibri (Body)"/>
              <a:ea typeface="+mn-ea"/>
              <a:cs typeface="+mn-cs"/>
            </a:rPr>
            <a:t>-</a:t>
          </a:r>
          <a:r>
            <a:rPr lang="en-US" sz="800" b="0" i="0" u="none" strike="noStrike" baseline="0">
              <a:solidFill>
                <a:schemeClr val="lt1"/>
              </a:solidFill>
              <a:effectLst/>
              <a:latin typeface="Calibri (Body)"/>
              <a:ea typeface="+mn-ea"/>
              <a:cs typeface="+mn-cs"/>
            </a:rPr>
            <a:t> To improve their performance, Memphis and Chicago sales management team might consider studying the operational and market approaches of the top three cities not to replicate, but to adopt, adapt and innovate.</a:t>
          </a:r>
          <a:br>
            <a:rPr lang="en-US" sz="800" b="0" i="0" u="none" strike="noStrike" baseline="0">
              <a:solidFill>
                <a:schemeClr val="lt1"/>
              </a:solidFill>
              <a:effectLst/>
              <a:latin typeface="Calibri (Body)"/>
              <a:ea typeface="+mn-ea"/>
              <a:cs typeface="+mn-cs"/>
            </a:rPr>
          </a:br>
          <a:r>
            <a:rPr lang="en-US" sz="800" b="0" i="0" u="none" strike="noStrike" baseline="0">
              <a:solidFill>
                <a:schemeClr val="lt1"/>
              </a:solidFill>
              <a:effectLst/>
              <a:latin typeface="Calibri (Body)"/>
              <a:ea typeface="+mn-ea"/>
              <a:cs typeface="+mn-cs"/>
            </a:rPr>
            <a:t>- To maximize regional performance, the underperformace cities strategy should be focus on analyzing the highest-selling products in each top-performing city .</a:t>
          </a:r>
          <a:endParaRPr lang="en-US" sz="800" b="0" i="0" u="none" strike="noStrike" baseline="0">
            <a:solidFill>
              <a:schemeClr val="bg1"/>
            </a:solidFill>
            <a:effectLst/>
            <a:latin typeface="Calibri (Body)"/>
            <a:ea typeface="+mn-ea"/>
            <a:cs typeface="+mn-cs"/>
          </a:endParaRP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514350</xdr:colOff>
      <xdr:row>1</xdr:row>
      <xdr:rowOff>142875</xdr:rowOff>
    </xdr:from>
    <xdr:to>
      <xdr:col>10</xdr:col>
      <xdr:colOff>504064</xdr:colOff>
      <xdr:row>17</xdr:row>
      <xdr:rowOff>113923</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514350" y="333375"/>
          <a:ext cx="6085714" cy="301904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85788</xdr:colOff>
      <xdr:row>0</xdr:row>
      <xdr:rowOff>73807</xdr:rowOff>
    </xdr:from>
    <xdr:to>
      <xdr:col>32</xdr:col>
      <xdr:colOff>220870</xdr:colOff>
      <xdr:row>2</xdr:row>
      <xdr:rowOff>151848</xdr:rowOff>
    </xdr:to>
    <xdr:sp macro="" textlink="">
      <xdr:nvSpPr>
        <xdr:cNvPr id="3" name="Rectangle: Rounded Corners 2">
          <a:extLst>
            <a:ext uri="{FF2B5EF4-FFF2-40B4-BE49-F238E27FC236}">
              <a16:creationId xmlns:a16="http://schemas.microsoft.com/office/drawing/2014/main" id="{520166F7-2ED8-5B3A-1934-A8F2AB394426}"/>
            </a:ext>
          </a:extLst>
        </xdr:cNvPr>
        <xdr:cNvSpPr/>
      </xdr:nvSpPr>
      <xdr:spPr>
        <a:xfrm>
          <a:off x="85788" y="73807"/>
          <a:ext cx="19599212" cy="43695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accent5">
                  <a:lumMod val="50000"/>
                </a:schemeClr>
              </a:solidFill>
              <a:latin typeface="Garamond" panose="02020404030301010803" pitchFamily="18" charset="0"/>
            </a:rPr>
            <a:t>FLUTTERCO GROUP OF COMPANIES'</a:t>
          </a:r>
          <a:r>
            <a:rPr lang="en-US" sz="1800" b="1" baseline="0">
              <a:solidFill>
                <a:schemeClr val="accent5">
                  <a:lumMod val="50000"/>
                </a:schemeClr>
              </a:solidFill>
              <a:latin typeface="Garamond" panose="02020404030301010803" pitchFamily="18" charset="0"/>
            </a:rPr>
            <a:t> SALES REPORT FOR THE YEAR 2024</a:t>
          </a:r>
        </a:p>
        <a:p>
          <a:pPr algn="ctr"/>
          <a:endParaRPr lang="en-NG" sz="1800" b="1">
            <a:solidFill>
              <a:schemeClr val="accent5">
                <a:lumMod val="50000"/>
              </a:schemeClr>
            </a:solidFill>
            <a:latin typeface="Garamond" panose="02020404030301010803" pitchFamily="18" charset="0"/>
          </a:endParaRPr>
        </a:p>
      </xdr:txBody>
    </xdr:sp>
    <xdr:clientData/>
  </xdr:twoCellAnchor>
  <xdr:twoCellAnchor>
    <xdr:from>
      <xdr:col>0</xdr:col>
      <xdr:colOff>110434</xdr:colOff>
      <xdr:row>8</xdr:row>
      <xdr:rowOff>71727</xdr:rowOff>
    </xdr:from>
    <xdr:to>
      <xdr:col>19</xdr:col>
      <xdr:colOff>30238</xdr:colOff>
      <xdr:row>19</xdr:row>
      <xdr:rowOff>0</xdr:rowOff>
    </xdr:to>
    <xdr:graphicFrame macro="">
      <xdr:nvGraphicFramePr>
        <xdr:cNvPr id="5" name="Chart 4">
          <a:extLst>
            <a:ext uri="{FF2B5EF4-FFF2-40B4-BE49-F238E27FC236}">
              <a16:creationId xmlns:a16="http://schemas.microsoft.com/office/drawing/2014/main" id="{2160BFC5-AAE7-4184-AE4C-10BDF759C0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124511</xdr:colOff>
      <xdr:row>19</xdr:row>
      <xdr:rowOff>49804</xdr:rowOff>
    </xdr:from>
    <xdr:to>
      <xdr:col>8</xdr:col>
      <xdr:colOff>298825</xdr:colOff>
      <xdr:row>29</xdr:row>
      <xdr:rowOff>161862</xdr:rowOff>
    </xdr:to>
    <xdr:graphicFrame macro="">
      <xdr:nvGraphicFramePr>
        <xdr:cNvPr id="7" name="Chart 6">
          <a:extLst>
            <a:ext uri="{FF2B5EF4-FFF2-40B4-BE49-F238E27FC236}">
              <a16:creationId xmlns:a16="http://schemas.microsoft.com/office/drawing/2014/main" id="{0152F142-1177-4482-A6DC-7E1AF59C1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124508</xdr:colOff>
      <xdr:row>19</xdr:row>
      <xdr:rowOff>35277</xdr:rowOff>
    </xdr:from>
    <xdr:to>
      <xdr:col>29</xdr:col>
      <xdr:colOff>622788</xdr:colOff>
      <xdr:row>30</xdr:row>
      <xdr:rowOff>16239</xdr:rowOff>
    </xdr:to>
    <xdr:graphicFrame macro="">
      <xdr:nvGraphicFramePr>
        <xdr:cNvPr id="9" name="Chart 8">
          <a:extLst>
            <a:ext uri="{FF2B5EF4-FFF2-40B4-BE49-F238E27FC236}">
              <a16:creationId xmlns:a16="http://schemas.microsoft.com/office/drawing/2014/main" id="{26052D44-DBA8-4BDC-A86A-24ADDD6895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74705</xdr:colOff>
      <xdr:row>30</xdr:row>
      <xdr:rowOff>49804</xdr:rowOff>
    </xdr:from>
    <xdr:to>
      <xdr:col>9</xdr:col>
      <xdr:colOff>37353</xdr:colOff>
      <xdr:row>42</xdr:row>
      <xdr:rowOff>124509</xdr:rowOff>
    </xdr:to>
    <xdr:graphicFrame macro="">
      <xdr:nvGraphicFramePr>
        <xdr:cNvPr id="10" name="Chart 9">
          <a:extLst>
            <a:ext uri="{FF2B5EF4-FFF2-40B4-BE49-F238E27FC236}">
              <a16:creationId xmlns:a16="http://schemas.microsoft.com/office/drawing/2014/main" id="{3A580C22-DEBC-46DC-90B1-0EB9E43ED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76089</xdr:colOff>
      <xdr:row>30</xdr:row>
      <xdr:rowOff>49804</xdr:rowOff>
    </xdr:from>
    <xdr:to>
      <xdr:col>15</xdr:col>
      <xdr:colOff>11759</xdr:colOff>
      <xdr:row>42</xdr:row>
      <xdr:rowOff>99607</xdr:rowOff>
    </xdr:to>
    <xdr:graphicFrame macro="">
      <xdr:nvGraphicFramePr>
        <xdr:cNvPr id="11" name="Chart 10">
          <a:extLst>
            <a:ext uri="{FF2B5EF4-FFF2-40B4-BE49-F238E27FC236}">
              <a16:creationId xmlns:a16="http://schemas.microsoft.com/office/drawing/2014/main" id="{141102DC-9122-43A4-A28D-9D487C6E7A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62255</xdr:colOff>
      <xdr:row>30</xdr:row>
      <xdr:rowOff>62256</xdr:rowOff>
    </xdr:from>
    <xdr:to>
      <xdr:col>29</xdr:col>
      <xdr:colOff>610578</xdr:colOff>
      <xdr:row>42</xdr:row>
      <xdr:rowOff>99607</xdr:rowOff>
    </xdr:to>
    <xdr:graphicFrame macro="">
      <xdr:nvGraphicFramePr>
        <xdr:cNvPr id="12" name="Chart 11">
          <a:extLst>
            <a:ext uri="{FF2B5EF4-FFF2-40B4-BE49-F238E27FC236}">
              <a16:creationId xmlns:a16="http://schemas.microsoft.com/office/drawing/2014/main" id="{EE96E51D-A9A2-408D-BC7D-E711C0980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102187</xdr:colOff>
      <xdr:row>2</xdr:row>
      <xdr:rowOff>151846</xdr:rowOff>
    </xdr:from>
    <xdr:to>
      <xdr:col>4</xdr:col>
      <xdr:colOff>253148</xdr:colOff>
      <xdr:row>8</xdr:row>
      <xdr:rowOff>46074</xdr:rowOff>
    </xdr:to>
    <xdr:sp macro="" textlink="">
      <xdr:nvSpPr>
        <xdr:cNvPr id="15" name="Rectangle: Rounded Corners 14">
          <a:extLst>
            <a:ext uri="{FF2B5EF4-FFF2-40B4-BE49-F238E27FC236}">
              <a16:creationId xmlns:a16="http://schemas.microsoft.com/office/drawing/2014/main" id="{5952C508-0A9E-A134-E200-AC8A925156EF}"/>
            </a:ext>
          </a:extLst>
        </xdr:cNvPr>
        <xdr:cNvSpPr/>
      </xdr:nvSpPr>
      <xdr:spPr>
        <a:xfrm>
          <a:off x="102187" y="514703"/>
          <a:ext cx="2592000" cy="9828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baseline="0">
              <a:solidFill>
                <a:schemeClr val="accent5">
                  <a:lumMod val="50000"/>
                </a:schemeClr>
              </a:solidFill>
              <a:latin typeface="Garamond" panose="02020404030301010803" pitchFamily="18" charset="0"/>
            </a:rPr>
            <a:t>       </a:t>
          </a:r>
          <a:r>
            <a:rPr lang="en-US" sz="1400" b="1" baseline="0">
              <a:solidFill>
                <a:schemeClr val="accent5">
                  <a:lumMod val="50000"/>
                </a:schemeClr>
              </a:solidFill>
              <a:latin typeface="Garamond" panose="02020404030301010803" pitchFamily="18" charset="0"/>
            </a:rPr>
            <a:t>Highest Performance</a:t>
          </a:r>
        </a:p>
        <a:p>
          <a:pPr algn="ctr"/>
          <a:r>
            <a:rPr lang="en-US" sz="1400" b="1" baseline="0">
              <a:solidFill>
                <a:schemeClr val="accent5">
                  <a:lumMod val="50000"/>
                </a:schemeClr>
              </a:solidFill>
              <a:latin typeface="Garamond" panose="02020404030301010803" pitchFamily="18" charset="0"/>
            </a:rPr>
            <a:t> Sales Representative: </a:t>
          </a:r>
        </a:p>
        <a:p>
          <a:pPr algn="ctr"/>
          <a:r>
            <a:rPr lang="en-US" sz="1400" b="1" baseline="0">
              <a:solidFill>
                <a:schemeClr val="accent5">
                  <a:lumMod val="50000"/>
                </a:schemeClr>
              </a:solidFill>
              <a:latin typeface="Garamond" panose="02020404030301010803" pitchFamily="18" charset="0"/>
            </a:rPr>
            <a:t>           Nancy</a:t>
          </a:r>
          <a:r>
            <a:rPr lang="en-US" sz="1200" b="1" baseline="0">
              <a:solidFill>
                <a:schemeClr val="accent5">
                  <a:lumMod val="50000"/>
                </a:schemeClr>
              </a:solidFill>
              <a:latin typeface="Garamond" panose="02020404030301010803" pitchFamily="18" charset="0"/>
            </a:rPr>
            <a:t>	</a:t>
          </a:r>
          <a:endParaRPr lang="en-NG" sz="1200" b="1">
            <a:solidFill>
              <a:schemeClr val="accent5">
                <a:lumMod val="50000"/>
              </a:schemeClr>
            </a:solidFill>
            <a:latin typeface="Garamond" panose="02020404030301010803" pitchFamily="18" charset="0"/>
          </a:endParaRPr>
        </a:p>
      </xdr:txBody>
    </xdr:sp>
    <xdr:clientData/>
  </xdr:twoCellAnchor>
  <xdr:twoCellAnchor>
    <xdr:from>
      <xdr:col>4</xdr:col>
      <xdr:colOff>258619</xdr:colOff>
      <xdr:row>2</xdr:row>
      <xdr:rowOff>152403</xdr:rowOff>
    </xdr:from>
    <xdr:to>
      <xdr:col>8</xdr:col>
      <xdr:colOff>409580</xdr:colOff>
      <xdr:row>8</xdr:row>
      <xdr:rowOff>46631</xdr:rowOff>
    </xdr:to>
    <xdr:sp macro="" textlink="">
      <xdr:nvSpPr>
        <xdr:cNvPr id="16" name="Rectangle: Rounded Corners 15">
          <a:extLst>
            <a:ext uri="{FF2B5EF4-FFF2-40B4-BE49-F238E27FC236}">
              <a16:creationId xmlns:a16="http://schemas.microsoft.com/office/drawing/2014/main" id="{8A6920A0-A94F-CC26-4E5F-D5D8C5E1F4B6}"/>
            </a:ext>
          </a:extLst>
        </xdr:cNvPr>
        <xdr:cNvSpPr/>
      </xdr:nvSpPr>
      <xdr:spPr>
        <a:xfrm>
          <a:off x="2711033" y="524644"/>
          <a:ext cx="2603375" cy="101095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baseline="0">
              <a:solidFill>
                <a:schemeClr val="accent5">
                  <a:lumMod val="50000"/>
                </a:schemeClr>
              </a:solidFill>
              <a:latin typeface="Garamond" panose="02020404030301010803" pitchFamily="18" charset="0"/>
            </a:rPr>
            <a:t> </a:t>
          </a:r>
          <a:r>
            <a:rPr lang="en-US" sz="1400" b="1" baseline="0">
              <a:solidFill>
                <a:schemeClr val="accent5">
                  <a:lumMod val="50000"/>
                </a:schemeClr>
              </a:solidFill>
              <a:latin typeface="Garamond" panose="02020404030301010803" pitchFamily="18" charset="0"/>
            </a:rPr>
            <a:t>Best Performing</a:t>
          </a:r>
        </a:p>
        <a:p>
          <a:pPr algn="ctr"/>
          <a:r>
            <a:rPr lang="en-US" sz="1400" b="1" baseline="0">
              <a:solidFill>
                <a:schemeClr val="accent5">
                  <a:lumMod val="50000"/>
                </a:schemeClr>
              </a:solidFill>
              <a:latin typeface="Garamond" panose="02020404030301010803" pitchFamily="18" charset="0"/>
            </a:rPr>
            <a:t> Month:</a:t>
          </a:r>
        </a:p>
        <a:p>
          <a:pPr algn="ctr"/>
          <a:r>
            <a:rPr lang="en-US" sz="1400" b="1" baseline="0">
              <a:solidFill>
                <a:schemeClr val="accent5">
                  <a:lumMod val="50000"/>
                </a:schemeClr>
              </a:solidFill>
              <a:latin typeface="Garamond" panose="02020404030301010803" pitchFamily="18" charset="0"/>
            </a:rPr>
            <a:t> June</a:t>
          </a:r>
          <a:endParaRPr lang="en-NG" sz="1400" b="1">
            <a:solidFill>
              <a:schemeClr val="accent5">
                <a:lumMod val="50000"/>
              </a:schemeClr>
            </a:solidFill>
            <a:latin typeface="Garamond" panose="02020404030301010803" pitchFamily="18" charset="0"/>
          </a:endParaRPr>
        </a:p>
      </xdr:txBody>
    </xdr:sp>
    <xdr:clientData/>
  </xdr:twoCellAnchor>
  <xdr:twoCellAnchor>
    <xdr:from>
      <xdr:col>8</xdr:col>
      <xdr:colOff>424827</xdr:colOff>
      <xdr:row>2</xdr:row>
      <xdr:rowOff>152958</xdr:rowOff>
    </xdr:from>
    <xdr:to>
      <xdr:col>12</xdr:col>
      <xdr:colOff>575788</xdr:colOff>
      <xdr:row>8</xdr:row>
      <xdr:rowOff>47186</xdr:rowOff>
    </xdr:to>
    <xdr:sp macro="" textlink="">
      <xdr:nvSpPr>
        <xdr:cNvPr id="22" name="Rectangle: Rounded Corners 21">
          <a:extLst>
            <a:ext uri="{FF2B5EF4-FFF2-40B4-BE49-F238E27FC236}">
              <a16:creationId xmlns:a16="http://schemas.microsoft.com/office/drawing/2014/main" id="{9CFC46F5-92CF-6B43-2217-74E985763BD3}"/>
            </a:ext>
          </a:extLst>
        </xdr:cNvPr>
        <xdr:cNvSpPr/>
      </xdr:nvSpPr>
      <xdr:spPr>
        <a:xfrm>
          <a:off x="5305611" y="526487"/>
          <a:ext cx="2591353" cy="101481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accent5">
                  <a:lumMod val="50000"/>
                </a:schemeClr>
              </a:solidFill>
              <a:latin typeface="Garamond" panose="02020404030301010803" pitchFamily="18" charset="0"/>
            </a:rPr>
            <a:t>    Most</a:t>
          </a:r>
          <a:r>
            <a:rPr lang="en-US" sz="1400" b="1" baseline="0">
              <a:solidFill>
                <a:schemeClr val="accent5">
                  <a:lumMod val="50000"/>
                </a:schemeClr>
              </a:solidFill>
              <a:latin typeface="Garamond" panose="02020404030301010803" pitchFamily="18" charset="0"/>
            </a:rPr>
            <a:t> Revenue Generated City: </a:t>
          </a:r>
        </a:p>
        <a:p>
          <a:pPr algn="ctr"/>
          <a:r>
            <a:rPr lang="en-US" sz="1400" b="1" baseline="0">
              <a:solidFill>
                <a:schemeClr val="accent5">
                  <a:lumMod val="50000"/>
                </a:schemeClr>
              </a:solidFill>
              <a:latin typeface="Garamond" panose="02020404030301010803" pitchFamily="18" charset="0"/>
            </a:rPr>
            <a:t>New York</a:t>
          </a:r>
          <a:endParaRPr lang="en-NG" sz="1400" b="1">
            <a:solidFill>
              <a:schemeClr val="accent5">
                <a:lumMod val="50000"/>
              </a:schemeClr>
            </a:solidFill>
            <a:latin typeface="Garamond" panose="02020404030301010803" pitchFamily="18" charset="0"/>
          </a:endParaRPr>
        </a:p>
      </xdr:txBody>
    </xdr:sp>
    <xdr:clientData/>
  </xdr:twoCellAnchor>
  <xdr:twoCellAnchor>
    <xdr:from>
      <xdr:col>12</xdr:col>
      <xdr:colOff>590679</xdr:colOff>
      <xdr:row>2</xdr:row>
      <xdr:rowOff>148121</xdr:rowOff>
    </xdr:from>
    <xdr:to>
      <xdr:col>17</xdr:col>
      <xdr:colOff>131380</xdr:colOff>
      <xdr:row>8</xdr:row>
      <xdr:rowOff>42349</xdr:rowOff>
    </xdr:to>
    <xdr:sp macro="" textlink="">
      <xdr:nvSpPr>
        <xdr:cNvPr id="23" name="Rectangle: Rounded Corners 22">
          <a:extLst>
            <a:ext uri="{FF2B5EF4-FFF2-40B4-BE49-F238E27FC236}">
              <a16:creationId xmlns:a16="http://schemas.microsoft.com/office/drawing/2014/main" id="{D3B335DE-8549-88DB-BC77-F57E620F51C0}"/>
            </a:ext>
          </a:extLst>
        </xdr:cNvPr>
        <xdr:cNvSpPr/>
      </xdr:nvSpPr>
      <xdr:spPr>
        <a:xfrm>
          <a:off x="7947920" y="520362"/>
          <a:ext cx="2606219" cy="101095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accent5">
                  <a:lumMod val="50000"/>
                </a:schemeClr>
              </a:solidFill>
              <a:latin typeface="Garamond" panose="02020404030301010803" pitchFamily="18" charset="0"/>
            </a:rPr>
            <a:t>The</a:t>
          </a:r>
          <a:r>
            <a:rPr lang="en-US" sz="1400" b="1" baseline="0">
              <a:solidFill>
                <a:schemeClr val="accent5">
                  <a:lumMod val="50000"/>
                </a:schemeClr>
              </a:solidFill>
              <a:latin typeface="Garamond" panose="02020404030301010803" pitchFamily="18" charset="0"/>
            </a:rPr>
            <a:t> Outstanding </a:t>
          </a:r>
        </a:p>
        <a:p>
          <a:pPr algn="ctr"/>
          <a:r>
            <a:rPr lang="en-US" sz="1400" b="1" baseline="0">
              <a:solidFill>
                <a:schemeClr val="accent5">
                  <a:lumMod val="50000"/>
                </a:schemeClr>
              </a:solidFill>
              <a:latin typeface="Garamond" panose="02020404030301010803" pitchFamily="18" charset="0"/>
            </a:rPr>
            <a:t>Ship City By Revenue: </a:t>
          </a:r>
        </a:p>
        <a:p>
          <a:pPr algn="ctr"/>
          <a:r>
            <a:rPr lang="en-US" sz="1400" b="1" baseline="0">
              <a:solidFill>
                <a:schemeClr val="accent5">
                  <a:lumMod val="50000"/>
                </a:schemeClr>
              </a:solidFill>
              <a:latin typeface="Garamond" panose="02020404030301010803" pitchFamily="18" charset="0"/>
            </a:rPr>
            <a:t>New York</a:t>
          </a:r>
          <a:endParaRPr lang="en-NG" sz="1400" b="1">
            <a:solidFill>
              <a:schemeClr val="accent5">
                <a:lumMod val="50000"/>
              </a:schemeClr>
            </a:solidFill>
            <a:latin typeface="Garamond" panose="02020404030301010803" pitchFamily="18" charset="0"/>
          </a:endParaRPr>
        </a:p>
      </xdr:txBody>
    </xdr:sp>
    <xdr:clientData/>
  </xdr:twoCellAnchor>
  <xdr:twoCellAnchor>
    <xdr:from>
      <xdr:col>17</xdr:col>
      <xdr:colOff>146269</xdr:colOff>
      <xdr:row>2</xdr:row>
      <xdr:rowOff>145816</xdr:rowOff>
    </xdr:from>
    <xdr:to>
      <xdr:col>21</xdr:col>
      <xdr:colOff>297230</xdr:colOff>
      <xdr:row>8</xdr:row>
      <xdr:rowOff>40044</xdr:rowOff>
    </xdr:to>
    <xdr:sp macro="" textlink="">
      <xdr:nvSpPr>
        <xdr:cNvPr id="24" name="Rectangle: Rounded Corners 23">
          <a:extLst>
            <a:ext uri="{FF2B5EF4-FFF2-40B4-BE49-F238E27FC236}">
              <a16:creationId xmlns:a16="http://schemas.microsoft.com/office/drawing/2014/main" id="{7A27E828-CA26-BFEB-6344-453C3CE5CD1B}"/>
            </a:ext>
          </a:extLst>
        </xdr:cNvPr>
        <xdr:cNvSpPr/>
      </xdr:nvSpPr>
      <xdr:spPr>
        <a:xfrm>
          <a:off x="10517936" y="519345"/>
          <a:ext cx="2591353" cy="101481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baseline="0">
              <a:solidFill>
                <a:schemeClr val="accent5">
                  <a:lumMod val="50000"/>
                </a:schemeClr>
              </a:solidFill>
              <a:latin typeface="Garamond" panose="02020404030301010803" pitchFamily="18" charset="0"/>
            </a:rPr>
            <a:t>Best Region By Revenue</a:t>
          </a:r>
        </a:p>
        <a:p>
          <a:pPr algn="ctr"/>
          <a:r>
            <a:rPr lang="en-US" sz="1400" b="1" baseline="0">
              <a:solidFill>
                <a:schemeClr val="accent5">
                  <a:lumMod val="50000"/>
                </a:schemeClr>
              </a:solidFill>
              <a:latin typeface="Garamond" panose="02020404030301010803" pitchFamily="18" charset="0"/>
            </a:rPr>
            <a:t> Generated:</a:t>
          </a:r>
        </a:p>
        <a:p>
          <a:pPr algn="ctr"/>
          <a:r>
            <a:rPr lang="en-US" sz="1400" b="1" baseline="0">
              <a:solidFill>
                <a:schemeClr val="accent5">
                  <a:lumMod val="50000"/>
                </a:schemeClr>
              </a:solidFill>
              <a:latin typeface="Garamond" panose="02020404030301010803" pitchFamily="18" charset="0"/>
            </a:rPr>
            <a:t>West</a:t>
          </a:r>
          <a:endParaRPr lang="en-NG" sz="1400" b="1">
            <a:solidFill>
              <a:schemeClr val="accent5">
                <a:lumMod val="50000"/>
              </a:schemeClr>
            </a:solidFill>
            <a:latin typeface="Garamond" panose="02020404030301010803" pitchFamily="18" charset="0"/>
          </a:endParaRPr>
        </a:p>
      </xdr:txBody>
    </xdr:sp>
    <xdr:clientData/>
  </xdr:twoCellAnchor>
  <xdr:twoCellAnchor>
    <xdr:from>
      <xdr:col>21</xdr:col>
      <xdr:colOff>306742</xdr:colOff>
      <xdr:row>2</xdr:row>
      <xdr:rowOff>140811</xdr:rowOff>
    </xdr:from>
    <xdr:to>
      <xdr:col>25</xdr:col>
      <xdr:colOff>457703</xdr:colOff>
      <xdr:row>8</xdr:row>
      <xdr:rowOff>35039</xdr:rowOff>
    </xdr:to>
    <xdr:sp macro="" textlink="">
      <xdr:nvSpPr>
        <xdr:cNvPr id="25" name="Rectangle: Rounded Corners 24">
          <a:extLst>
            <a:ext uri="{FF2B5EF4-FFF2-40B4-BE49-F238E27FC236}">
              <a16:creationId xmlns:a16="http://schemas.microsoft.com/office/drawing/2014/main" id="{B6B4D9A1-0D43-1ACE-A86F-2D9AA4ABE975}"/>
            </a:ext>
          </a:extLst>
        </xdr:cNvPr>
        <xdr:cNvSpPr/>
      </xdr:nvSpPr>
      <xdr:spPr>
        <a:xfrm>
          <a:off x="13181914" y="513052"/>
          <a:ext cx="2603375" cy="101095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baseline="0">
              <a:solidFill>
                <a:schemeClr val="accent5">
                  <a:lumMod val="50000"/>
                </a:schemeClr>
              </a:solidFill>
              <a:latin typeface="Garamond" panose="02020404030301010803" pitchFamily="18" charset="0"/>
            </a:rPr>
            <a:t> </a:t>
          </a:r>
          <a:r>
            <a:rPr lang="en-US" sz="1400" b="1">
              <a:solidFill>
                <a:schemeClr val="accent5">
                  <a:lumMod val="50000"/>
                </a:schemeClr>
              </a:solidFill>
              <a:latin typeface="Garamond" panose="02020404030301010803" pitchFamily="18" charset="0"/>
            </a:rPr>
            <a:t>Best Product</a:t>
          </a:r>
          <a:r>
            <a:rPr lang="en-US" sz="1400" b="1" baseline="0">
              <a:solidFill>
                <a:schemeClr val="accent5">
                  <a:lumMod val="50000"/>
                </a:schemeClr>
              </a:solidFill>
              <a:latin typeface="Garamond" panose="02020404030301010803" pitchFamily="18" charset="0"/>
            </a:rPr>
            <a:t> </a:t>
          </a:r>
          <a:r>
            <a:rPr lang="en-US" sz="1400" b="1">
              <a:solidFill>
                <a:schemeClr val="accent5">
                  <a:lumMod val="50000"/>
                </a:schemeClr>
              </a:solidFill>
              <a:latin typeface="Garamond" panose="02020404030301010803" pitchFamily="18" charset="0"/>
            </a:rPr>
            <a:t>By Category</a:t>
          </a:r>
        </a:p>
        <a:p>
          <a:pPr algn="ctr"/>
          <a:r>
            <a:rPr lang="en-US" sz="1400" b="1">
              <a:solidFill>
                <a:schemeClr val="accent5">
                  <a:lumMod val="50000"/>
                </a:schemeClr>
              </a:solidFill>
              <a:latin typeface="Garamond" panose="02020404030301010803" pitchFamily="18" charset="0"/>
            </a:rPr>
            <a:t>Revenue Generated:</a:t>
          </a:r>
        </a:p>
        <a:p>
          <a:pPr algn="ctr"/>
          <a:r>
            <a:rPr lang="en-US" sz="1400" b="1">
              <a:solidFill>
                <a:schemeClr val="accent5">
                  <a:lumMod val="50000"/>
                </a:schemeClr>
              </a:solidFill>
              <a:latin typeface="Garamond" panose="02020404030301010803" pitchFamily="18" charset="0"/>
            </a:rPr>
            <a:t>Beverages</a:t>
          </a:r>
          <a:endParaRPr lang="en-NG" sz="1400" b="1">
            <a:solidFill>
              <a:schemeClr val="accent5">
                <a:lumMod val="50000"/>
              </a:schemeClr>
            </a:solidFill>
            <a:latin typeface="Garamond" panose="02020404030301010803" pitchFamily="18" charset="0"/>
          </a:endParaRPr>
        </a:p>
      </xdr:txBody>
    </xdr:sp>
    <xdr:clientData/>
  </xdr:twoCellAnchor>
  <xdr:twoCellAnchor>
    <xdr:from>
      <xdr:col>25</xdr:col>
      <xdr:colOff>465864</xdr:colOff>
      <xdr:row>2</xdr:row>
      <xdr:rowOff>139541</xdr:rowOff>
    </xdr:from>
    <xdr:to>
      <xdr:col>29</xdr:col>
      <xdr:colOff>616826</xdr:colOff>
      <xdr:row>8</xdr:row>
      <xdr:rowOff>32987</xdr:rowOff>
    </xdr:to>
    <xdr:sp macro="" textlink="">
      <xdr:nvSpPr>
        <xdr:cNvPr id="26" name="Rectangle: Rounded Corners 25">
          <a:extLst>
            <a:ext uri="{FF2B5EF4-FFF2-40B4-BE49-F238E27FC236}">
              <a16:creationId xmlns:a16="http://schemas.microsoft.com/office/drawing/2014/main" id="{B3847801-F850-057A-E15F-0BB1C1E5B27D}"/>
            </a:ext>
          </a:extLst>
        </xdr:cNvPr>
        <xdr:cNvSpPr/>
      </xdr:nvSpPr>
      <xdr:spPr>
        <a:xfrm>
          <a:off x="15793450" y="511782"/>
          <a:ext cx="2603376" cy="101017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accent5">
                  <a:lumMod val="50000"/>
                </a:schemeClr>
              </a:solidFill>
              <a:latin typeface="Garamond" panose="02020404030301010803" pitchFamily="18" charset="0"/>
            </a:rPr>
            <a:t>Highest Revenue</a:t>
          </a:r>
        </a:p>
        <a:p>
          <a:pPr algn="ctr"/>
          <a:r>
            <a:rPr lang="en-US" sz="1400" b="1">
              <a:solidFill>
                <a:schemeClr val="accent5">
                  <a:lumMod val="50000"/>
                </a:schemeClr>
              </a:solidFill>
              <a:latin typeface="Garamond" panose="02020404030301010803" pitchFamily="18" charset="0"/>
            </a:rPr>
            <a:t> Generated By </a:t>
          </a:r>
        </a:p>
        <a:p>
          <a:pPr algn="ctr"/>
          <a:r>
            <a:rPr lang="en-US" sz="1400" b="1">
              <a:solidFill>
                <a:schemeClr val="accent5">
                  <a:lumMod val="50000"/>
                </a:schemeClr>
              </a:solidFill>
              <a:latin typeface="Garamond" panose="02020404030301010803" pitchFamily="18" charset="0"/>
            </a:rPr>
            <a:t>Company &amp; Amount: </a:t>
          </a:r>
        </a:p>
        <a:p>
          <a:pPr algn="ctr"/>
          <a:r>
            <a:rPr lang="en-US" sz="1400" b="1">
              <a:solidFill>
                <a:schemeClr val="accent5">
                  <a:lumMod val="50000"/>
                </a:schemeClr>
              </a:solidFill>
              <a:latin typeface="Garamond" panose="02020404030301010803" pitchFamily="18" charset="0"/>
            </a:rPr>
            <a:t>D, $67,180.50</a:t>
          </a:r>
          <a:endParaRPr lang="en-NG" sz="1400" b="1">
            <a:solidFill>
              <a:schemeClr val="accent5">
                <a:lumMod val="50000"/>
              </a:schemeClr>
            </a:solidFill>
            <a:latin typeface="Garamond" panose="02020404030301010803" pitchFamily="18" charset="0"/>
          </a:endParaRPr>
        </a:p>
      </xdr:txBody>
    </xdr:sp>
    <xdr:clientData/>
  </xdr:twoCellAnchor>
  <xdr:twoCellAnchor editAs="oneCell">
    <xdr:from>
      <xdr:col>0</xdr:col>
      <xdr:colOff>98535</xdr:colOff>
      <xdr:row>3</xdr:row>
      <xdr:rowOff>134173</xdr:rowOff>
    </xdr:from>
    <xdr:to>
      <xdr:col>1</xdr:col>
      <xdr:colOff>172253</xdr:colOff>
      <xdr:row>7</xdr:row>
      <xdr:rowOff>87586</xdr:rowOff>
    </xdr:to>
    <xdr:pic>
      <xdr:nvPicPr>
        <xdr:cNvPr id="4" name="Graphic 3" descr="Call center with solid fill">
          <a:extLst>
            <a:ext uri="{FF2B5EF4-FFF2-40B4-BE49-F238E27FC236}">
              <a16:creationId xmlns:a16="http://schemas.microsoft.com/office/drawing/2014/main" id="{0BA52906-5E7D-4343-B432-FEB29DF6F90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98535" y="692535"/>
          <a:ext cx="686821" cy="697896"/>
        </a:xfrm>
        <a:prstGeom prst="rect">
          <a:avLst/>
        </a:prstGeom>
      </xdr:spPr>
    </xdr:pic>
    <xdr:clientData/>
  </xdr:twoCellAnchor>
  <xdr:twoCellAnchor editAs="oneCell">
    <xdr:from>
      <xdr:col>17</xdr:col>
      <xdr:colOff>208017</xdr:colOff>
      <xdr:row>4</xdr:row>
      <xdr:rowOff>106696</xdr:rowOff>
    </xdr:from>
    <xdr:to>
      <xdr:col>18</xdr:col>
      <xdr:colOff>204741</xdr:colOff>
      <xdr:row>8</xdr:row>
      <xdr:rowOff>1</xdr:rowOff>
    </xdr:to>
    <xdr:pic>
      <xdr:nvPicPr>
        <xdr:cNvPr id="14" name="Graphic 13" descr="Globe with solid fill">
          <a:extLst>
            <a:ext uri="{FF2B5EF4-FFF2-40B4-BE49-F238E27FC236}">
              <a16:creationId xmlns:a16="http://schemas.microsoft.com/office/drawing/2014/main" id="{E90FFF8B-A812-4B2D-B747-A64D521F6DB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rcRect/>
        <a:stretch/>
      </xdr:blipFill>
      <xdr:spPr>
        <a:xfrm>
          <a:off x="10630776" y="851179"/>
          <a:ext cx="609827" cy="637788"/>
        </a:xfrm>
        <a:prstGeom prst="rect">
          <a:avLst/>
        </a:prstGeom>
      </xdr:spPr>
    </xdr:pic>
    <xdr:clientData/>
  </xdr:twoCellAnchor>
  <xdr:twoCellAnchor editAs="oneCell">
    <xdr:from>
      <xdr:col>8</xdr:col>
      <xdr:colOff>470776</xdr:colOff>
      <xdr:row>4</xdr:row>
      <xdr:rowOff>68934</xdr:rowOff>
    </xdr:from>
    <xdr:to>
      <xdr:col>9</xdr:col>
      <xdr:colOff>417215</xdr:colOff>
      <xdr:row>7</xdr:row>
      <xdr:rowOff>87586</xdr:rowOff>
    </xdr:to>
    <xdr:pic>
      <xdr:nvPicPr>
        <xdr:cNvPr id="18" name="Graphic 17" descr="City with solid fill">
          <a:extLst>
            <a:ext uri="{FF2B5EF4-FFF2-40B4-BE49-F238E27FC236}">
              <a16:creationId xmlns:a16="http://schemas.microsoft.com/office/drawing/2014/main" id="{0DAABB8E-0359-4BE8-9390-AAF032B90749}"/>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5375604" y="813417"/>
          <a:ext cx="559542" cy="577014"/>
        </a:xfrm>
        <a:prstGeom prst="rect">
          <a:avLst/>
        </a:prstGeom>
      </xdr:spPr>
    </xdr:pic>
    <xdr:clientData/>
  </xdr:twoCellAnchor>
  <xdr:twoCellAnchor editAs="oneCell">
    <xdr:from>
      <xdr:col>13</xdr:col>
      <xdr:colOff>29071</xdr:colOff>
      <xdr:row>4</xdr:row>
      <xdr:rowOff>98534</xdr:rowOff>
    </xdr:from>
    <xdr:to>
      <xdr:col>14</xdr:col>
      <xdr:colOff>21898</xdr:colOff>
      <xdr:row>8</xdr:row>
      <xdr:rowOff>141374</xdr:rowOff>
    </xdr:to>
    <xdr:pic>
      <xdr:nvPicPr>
        <xdr:cNvPr id="20" name="Graphic 19" descr="Truck with solid fill">
          <a:extLst>
            <a:ext uri="{FF2B5EF4-FFF2-40B4-BE49-F238E27FC236}">
              <a16:creationId xmlns:a16="http://schemas.microsoft.com/office/drawing/2014/main" id="{E17163A0-0E17-4A15-8D56-B87377A56F5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7999416" y="843017"/>
          <a:ext cx="605930" cy="787323"/>
        </a:xfrm>
        <a:prstGeom prst="rect">
          <a:avLst/>
        </a:prstGeom>
      </xdr:spPr>
    </xdr:pic>
    <xdr:clientData/>
  </xdr:twoCellAnchor>
  <xdr:twoCellAnchor editAs="oneCell">
    <xdr:from>
      <xdr:col>25</xdr:col>
      <xdr:colOff>482481</xdr:colOff>
      <xdr:row>4</xdr:row>
      <xdr:rowOff>98535</xdr:rowOff>
    </xdr:from>
    <xdr:to>
      <xdr:col>26</xdr:col>
      <xdr:colOff>328448</xdr:colOff>
      <xdr:row>7</xdr:row>
      <xdr:rowOff>142327</xdr:rowOff>
    </xdr:to>
    <xdr:pic>
      <xdr:nvPicPr>
        <xdr:cNvPr id="29" name="Graphic 28" descr="Money with solid fill">
          <a:extLst>
            <a:ext uri="{FF2B5EF4-FFF2-40B4-BE49-F238E27FC236}">
              <a16:creationId xmlns:a16="http://schemas.microsoft.com/office/drawing/2014/main" id="{E966A223-BD0B-464F-A3D5-63EA925C3E94}"/>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15810067" y="843018"/>
          <a:ext cx="459071" cy="602154"/>
        </a:xfrm>
        <a:prstGeom prst="rect">
          <a:avLst/>
        </a:prstGeom>
      </xdr:spPr>
    </xdr:pic>
    <xdr:clientData/>
  </xdr:twoCellAnchor>
  <xdr:twoCellAnchor editAs="oneCell">
    <xdr:from>
      <xdr:col>21</xdr:col>
      <xdr:colOff>328450</xdr:colOff>
      <xdr:row>4</xdr:row>
      <xdr:rowOff>34576</xdr:rowOff>
    </xdr:from>
    <xdr:to>
      <xdr:col>22</xdr:col>
      <xdr:colOff>383190</xdr:colOff>
      <xdr:row>7</xdr:row>
      <xdr:rowOff>164228</xdr:rowOff>
    </xdr:to>
    <xdr:pic>
      <xdr:nvPicPr>
        <xdr:cNvPr id="31" name="Graphic 30" descr="Coffee with solid fill">
          <a:extLst>
            <a:ext uri="{FF2B5EF4-FFF2-40B4-BE49-F238E27FC236}">
              <a16:creationId xmlns:a16="http://schemas.microsoft.com/office/drawing/2014/main" id="{9E335982-D2C6-47C5-A592-4873B89DEDA2}"/>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13203622" y="779059"/>
          <a:ext cx="667844" cy="688014"/>
        </a:xfrm>
        <a:prstGeom prst="rect">
          <a:avLst/>
        </a:prstGeom>
      </xdr:spPr>
    </xdr:pic>
    <xdr:clientData/>
  </xdr:twoCellAnchor>
  <xdr:twoCellAnchor editAs="oneCell">
    <xdr:from>
      <xdr:col>29</xdr:col>
      <xdr:colOff>603250</xdr:colOff>
      <xdr:row>2</xdr:row>
      <xdr:rowOff>160867</xdr:rowOff>
    </xdr:from>
    <xdr:to>
      <xdr:col>32</xdr:col>
      <xdr:colOff>207066</xdr:colOff>
      <xdr:row>16</xdr:row>
      <xdr:rowOff>166158</xdr:rowOff>
    </xdr:to>
    <mc:AlternateContent xmlns:mc="http://schemas.openxmlformats.org/markup-compatibility/2006" xmlns:a14="http://schemas.microsoft.com/office/drawing/2010/main">
      <mc:Choice Requires="a14">
        <xdr:graphicFrame macro="">
          <xdr:nvGraphicFramePr>
            <xdr:cNvPr id="34" name="Salesperson">
              <a:extLst>
                <a:ext uri="{FF2B5EF4-FFF2-40B4-BE49-F238E27FC236}">
                  <a16:creationId xmlns:a16="http://schemas.microsoft.com/office/drawing/2014/main" id="{C0DC4F39-DE89-4D55-85CC-B307FA60A32A}"/>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8336213" y="537163"/>
              <a:ext cx="1473538" cy="26393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586520</xdr:colOff>
      <xdr:row>17</xdr:row>
      <xdr:rowOff>12808</xdr:rowOff>
    </xdr:from>
    <xdr:to>
      <xdr:col>32</xdr:col>
      <xdr:colOff>199216</xdr:colOff>
      <xdr:row>24</xdr:row>
      <xdr:rowOff>172204</xdr:rowOff>
    </xdr:to>
    <mc:AlternateContent xmlns:mc="http://schemas.openxmlformats.org/markup-compatibility/2006" xmlns:a14="http://schemas.microsoft.com/office/drawing/2010/main">
      <mc:Choice Requires="a14">
        <xdr:graphicFrame macro="">
          <xdr:nvGraphicFramePr>
            <xdr:cNvPr id="35" name="Region">
              <a:extLst>
                <a:ext uri="{FF2B5EF4-FFF2-40B4-BE49-F238E27FC236}">
                  <a16:creationId xmlns:a16="http://schemas.microsoft.com/office/drawing/2014/main" id="{EF1A1B85-2596-4FEF-951A-534A79787A3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319483" y="3211327"/>
              <a:ext cx="1482418" cy="14764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595795</xdr:colOff>
      <xdr:row>25</xdr:row>
      <xdr:rowOff>16288</xdr:rowOff>
    </xdr:from>
    <xdr:to>
      <xdr:col>32</xdr:col>
      <xdr:colOff>207066</xdr:colOff>
      <xdr:row>37</xdr:row>
      <xdr:rowOff>175637</xdr:rowOff>
    </xdr:to>
    <mc:AlternateContent xmlns:mc="http://schemas.openxmlformats.org/markup-compatibility/2006" xmlns:a14="http://schemas.microsoft.com/office/drawing/2010/main">
      <mc:Choice Requires="a14">
        <xdr:graphicFrame macro="">
          <xdr:nvGraphicFramePr>
            <xdr:cNvPr id="37" name="Product Name">
              <a:extLst>
                <a:ext uri="{FF2B5EF4-FFF2-40B4-BE49-F238E27FC236}">
                  <a16:creationId xmlns:a16="http://schemas.microsoft.com/office/drawing/2014/main" id="{ECC864E5-D37D-4202-A29B-9A9F34BC3AFE}"/>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8328758" y="4719992"/>
              <a:ext cx="1480993" cy="2417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609324</xdr:colOff>
      <xdr:row>38</xdr:row>
      <xdr:rowOff>2211</xdr:rowOff>
    </xdr:from>
    <xdr:to>
      <xdr:col>32</xdr:col>
      <xdr:colOff>207596</xdr:colOff>
      <xdr:row>42</xdr:row>
      <xdr:rowOff>94576</xdr:rowOff>
    </xdr:to>
    <mc:AlternateContent xmlns:mc="http://schemas.openxmlformats.org/markup-compatibility/2006" xmlns:a14="http://schemas.microsoft.com/office/drawing/2010/main">
      <mc:Choice Requires="a14">
        <xdr:graphicFrame macro="">
          <xdr:nvGraphicFramePr>
            <xdr:cNvPr id="38" name="Customer Name">
              <a:extLst>
                <a:ext uri="{FF2B5EF4-FFF2-40B4-BE49-F238E27FC236}">
                  <a16:creationId xmlns:a16="http://schemas.microsoft.com/office/drawing/2014/main" id="{C6A9066E-CF5A-4A15-89DF-B97318922F8D}"/>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18342287" y="7151841"/>
              <a:ext cx="1467994" cy="8449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337764</xdr:colOff>
      <xdr:row>19</xdr:row>
      <xdr:rowOff>20662</xdr:rowOff>
    </xdr:from>
    <xdr:to>
      <xdr:col>19</xdr:col>
      <xdr:colOff>81062</xdr:colOff>
      <xdr:row>29</xdr:row>
      <xdr:rowOff>183172</xdr:rowOff>
    </xdr:to>
    <xdr:sp macro="" textlink="">
      <xdr:nvSpPr>
        <xdr:cNvPr id="40" name="Rectangle: Rounded Corners 39">
          <a:extLst>
            <a:ext uri="{FF2B5EF4-FFF2-40B4-BE49-F238E27FC236}">
              <a16:creationId xmlns:a16="http://schemas.microsoft.com/office/drawing/2014/main" id="{B5F214C9-6CDF-49A5-A45D-AF78A39AA8D8}"/>
            </a:ext>
          </a:extLst>
        </xdr:cNvPr>
        <xdr:cNvSpPr/>
      </xdr:nvSpPr>
      <xdr:spPr>
        <a:xfrm>
          <a:off x="5222379" y="3500950"/>
          <a:ext cx="6459645" cy="1994241"/>
        </a:xfrm>
        <a:prstGeom prst="roundRect">
          <a:avLst>
            <a:gd name="adj" fmla="val 6184"/>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390771</xdr:colOff>
      <xdr:row>19</xdr:row>
      <xdr:rowOff>117118</xdr:rowOff>
    </xdr:from>
    <xdr:to>
      <xdr:col>18</xdr:col>
      <xdr:colOff>561731</xdr:colOff>
      <xdr:row>29</xdr:row>
      <xdr:rowOff>79376</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6D6AD6EE-024E-4A17-9956-2B1754075F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5267571" y="3615968"/>
              <a:ext cx="6266960" cy="1803758"/>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fLocksWithSheet="0"/>
  </xdr:twoCellAnchor>
  <xdr:twoCellAnchor>
    <xdr:from>
      <xdr:col>19</xdr:col>
      <xdr:colOff>82315</xdr:colOff>
      <xdr:row>8</xdr:row>
      <xdr:rowOff>58797</xdr:rowOff>
    </xdr:from>
    <xdr:to>
      <xdr:col>29</xdr:col>
      <xdr:colOff>587961</xdr:colOff>
      <xdr:row>19</xdr:row>
      <xdr:rowOff>0</xdr:rowOff>
    </xdr:to>
    <xdr:graphicFrame macro="">
      <xdr:nvGraphicFramePr>
        <xdr:cNvPr id="2" name="Chart 1">
          <a:extLst>
            <a:ext uri="{FF2B5EF4-FFF2-40B4-BE49-F238E27FC236}">
              <a16:creationId xmlns:a16="http://schemas.microsoft.com/office/drawing/2014/main" id="{93126AB0-292D-4927-9DB6-B520EE83C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4</xdr:col>
      <xdr:colOff>470775</xdr:colOff>
      <xdr:row>4</xdr:row>
      <xdr:rowOff>27522</xdr:rowOff>
    </xdr:from>
    <xdr:to>
      <xdr:col>5</xdr:col>
      <xdr:colOff>492673</xdr:colOff>
      <xdr:row>7</xdr:row>
      <xdr:rowOff>104161</xdr:rowOff>
    </xdr:to>
    <xdr:pic>
      <xdr:nvPicPr>
        <xdr:cNvPr id="6" name="Graphic 1" descr="Daily calendar with solid fill">
          <a:extLst>
            <a:ext uri="{FF2B5EF4-FFF2-40B4-BE49-F238E27FC236}">
              <a16:creationId xmlns:a16="http://schemas.microsoft.com/office/drawing/2014/main" id="{C680D2B7-0D4B-AC60-E9F3-32965BA433B4}"/>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923189" y="772005"/>
          <a:ext cx="635001" cy="63500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14</xdr:col>
      <xdr:colOff>431928</xdr:colOff>
      <xdr:row>2</xdr:row>
      <xdr:rowOff>0</xdr:rowOff>
    </xdr:from>
    <xdr:to>
      <xdr:col>27</xdr:col>
      <xdr:colOff>321308</xdr:colOff>
      <xdr:row>20</xdr:row>
      <xdr:rowOff>57112</xdr:rowOff>
    </xdr:to>
    <xdr:sp macro="" textlink="">
      <xdr:nvSpPr>
        <xdr:cNvPr id="6" name="Rectangle: Rounded Corners 5">
          <a:extLst>
            <a:ext uri="{FF2B5EF4-FFF2-40B4-BE49-F238E27FC236}">
              <a16:creationId xmlns:a16="http://schemas.microsoft.com/office/drawing/2014/main" id="{390B9CA4-833B-4436-A455-A03427916528}"/>
            </a:ext>
          </a:extLst>
        </xdr:cNvPr>
        <xdr:cNvSpPr/>
      </xdr:nvSpPr>
      <xdr:spPr>
        <a:xfrm>
          <a:off x="8926817" y="366889"/>
          <a:ext cx="7777491" cy="335911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latin typeface="Garamond" panose="02020404030301010803" pitchFamily="18" charset="0"/>
              <a:cs typeface="Arial" panose="020B0604020202020204" pitchFamily="34" charset="0"/>
            </a:rPr>
            <a:t>OBSERVATION</a:t>
          </a:r>
        </a:p>
        <a:p>
          <a:pPr algn="l"/>
          <a:r>
            <a:rPr lang="en-US" sz="1400" b="0">
              <a:solidFill>
                <a:schemeClr val="tx1"/>
              </a:solidFill>
              <a:latin typeface="Garamond" panose="02020404030301010803" pitchFamily="18" charset="0"/>
              <a:cs typeface="Arial" panose="020B0604020202020204" pitchFamily="34" charset="0"/>
            </a:rPr>
            <a:t>- Anne Larsen's sales performance peaked in December with $66,642.78, driven by strong sales in top cities Miami ($50,143.33) and Memphis ($43,713.00).</a:t>
          </a:r>
        </a:p>
        <a:p>
          <a:pPr algn="l"/>
          <a:r>
            <a:rPr lang="en-US" sz="1400" b="0">
              <a:solidFill>
                <a:schemeClr val="tx1"/>
              </a:solidFill>
              <a:latin typeface="Garamond" panose="02020404030301010803" pitchFamily="18" charset="0"/>
              <a:cs typeface="Arial" panose="020B0604020202020204" pitchFamily="34" charset="0"/>
            </a:rPr>
            <a:t>- Her top-selling product category is Beverages ($29,278.08), followed closely by Canned Meat ($19,117.60) and Sauces ($18,480.00), while Dried Fruit and Nuts ($1,667.00) was her lowest-performing product category. </a:t>
          </a:r>
        </a:p>
        <a:p>
          <a:pPr algn="l"/>
          <a:r>
            <a:rPr lang="en-US" sz="1400" b="0">
              <a:solidFill>
                <a:schemeClr val="tx1"/>
              </a:solidFill>
              <a:latin typeface="Garamond" panose="02020404030301010803" pitchFamily="18" charset="0"/>
              <a:cs typeface="Arial" panose="020B0604020202020204" pitchFamily="34" charset="0"/>
            </a:rPr>
            <a:t>- Her key customers include Company BB ($43,713.00), Company Z ($28,208.25), and Company K ($21,937.08), with most product sales falling in the 0-1000 price range (50 units), and a notable decline in sales for products priced between $4000-$5000 (1 unit) which i</a:t>
          </a:r>
          <a:r>
            <a:rPr lang="en-US" sz="1400" b="0" baseline="0">
              <a:solidFill>
                <a:schemeClr val="tx1"/>
              </a:solidFill>
              <a:latin typeface="Garamond" panose="02020404030301010803" pitchFamily="18" charset="0"/>
              <a:cs typeface="Arial" panose="020B0604020202020204" pitchFamily="34" charset="0"/>
            </a:rPr>
            <a:t> believe goes to the Dried Fruit and Nuts</a:t>
          </a:r>
          <a:r>
            <a:rPr lang="en-US" sz="1400" b="0">
              <a:solidFill>
                <a:schemeClr val="tx1"/>
              </a:solidFill>
              <a:latin typeface="Garamond" panose="02020404030301010803" pitchFamily="18" charset="0"/>
              <a:cs typeface="Arial" panose="020B0604020202020204" pitchFamily="34" charset="0"/>
            </a:rPr>
            <a:t>.</a:t>
          </a:r>
        </a:p>
        <a:p>
          <a:pPr algn="l"/>
          <a:endParaRPr lang="en-NG" sz="1400" b="1">
            <a:solidFill>
              <a:schemeClr val="tx1"/>
            </a:solidFill>
            <a:latin typeface="Garamond" panose="02020404030301010803" pitchFamily="18" charset="0"/>
            <a:cs typeface="Arial" panose="020B0604020202020204" pitchFamily="34" charset="0"/>
          </a:endParaRPr>
        </a:p>
      </xdr:txBody>
    </xdr:sp>
    <xdr:clientData/>
  </xdr:twoCellAnchor>
  <xdr:twoCellAnchor>
    <xdr:from>
      <xdr:col>1</xdr:col>
      <xdr:colOff>76526</xdr:colOff>
      <xdr:row>2</xdr:row>
      <xdr:rowOff>54709</xdr:rowOff>
    </xdr:from>
    <xdr:to>
      <xdr:col>13</xdr:col>
      <xdr:colOff>575349</xdr:colOff>
      <xdr:row>20</xdr:row>
      <xdr:rowOff>111814</xdr:rowOff>
    </xdr:to>
    <xdr:sp macro="" textlink="">
      <xdr:nvSpPr>
        <xdr:cNvPr id="7" name="Rectangle: Rounded Corners 6">
          <a:extLst>
            <a:ext uri="{FF2B5EF4-FFF2-40B4-BE49-F238E27FC236}">
              <a16:creationId xmlns:a16="http://schemas.microsoft.com/office/drawing/2014/main" id="{1F764268-41EE-4363-BF56-011A6F9307A3}"/>
            </a:ext>
          </a:extLst>
        </xdr:cNvPr>
        <xdr:cNvSpPr/>
      </xdr:nvSpPr>
      <xdr:spPr>
        <a:xfrm>
          <a:off x="683304" y="421598"/>
          <a:ext cx="7780156" cy="3359105"/>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Garamond" panose="02020404030301010803" pitchFamily="18" charset="0"/>
              <a:cs typeface="Arial" panose="020B0604020202020204" pitchFamily="34" charset="0"/>
            </a:rPr>
            <a:t>OBSERVATION</a:t>
          </a:r>
        </a:p>
        <a:p>
          <a:pPr algn="ctr"/>
          <a:endParaRPr lang="en-US" sz="1400" b="1">
            <a:latin typeface="Garamond" panose="02020404030301010803" pitchFamily="18" charset="0"/>
            <a:cs typeface="Arial" panose="020B0604020202020204" pitchFamily="34" charset="0"/>
          </a:endParaRPr>
        </a:p>
        <a:p>
          <a:pPr algn="l"/>
          <a:r>
            <a:rPr lang="en-US" sz="1400" b="0">
              <a:latin typeface="Garamond" panose="02020404030301010803" pitchFamily="18" charset="0"/>
              <a:cs typeface="Arial" panose="020B0604020202020204" pitchFamily="34" charset="0"/>
            </a:rPr>
            <a:t>Jan Katos' performance dashboard reveals that the West region is his best performing area, with June being his top month generating $16,350.00 in revenue, driven by strong sales of Beer, Chocolate, and Fruit Cocktail in Denver, with Company CC being his top income</a:t>
          </a:r>
          <a:r>
            <a:rPr lang="en-US" sz="1400" b="0" baseline="0">
              <a:latin typeface="Garamond" panose="02020404030301010803" pitchFamily="18" charset="0"/>
              <a:cs typeface="Arial" panose="020B0604020202020204" pitchFamily="34" charset="0"/>
            </a:rPr>
            <a:t> </a:t>
          </a:r>
          <a:r>
            <a:rPr lang="en-US" sz="1400" b="0">
              <a:latin typeface="Garamond" panose="02020404030301010803" pitchFamily="18" charset="0"/>
              <a:cs typeface="Arial" panose="020B0604020202020204" pitchFamily="34" charset="0"/>
            </a:rPr>
            <a:t>generating partner.</a:t>
          </a:r>
        </a:p>
      </xdr:txBody>
    </xdr:sp>
    <xdr:clientData/>
  </xdr:twoCellAnchor>
  <xdr:twoCellAnchor>
    <xdr:from>
      <xdr:col>1</xdr:col>
      <xdr:colOff>0</xdr:colOff>
      <xdr:row>23</xdr:row>
      <xdr:rowOff>85052</xdr:rowOff>
    </xdr:from>
    <xdr:to>
      <xdr:col>13</xdr:col>
      <xdr:colOff>498082</xdr:colOff>
      <xdr:row>41</xdr:row>
      <xdr:rowOff>144088</xdr:rowOff>
    </xdr:to>
    <xdr:sp macro="" textlink="">
      <xdr:nvSpPr>
        <xdr:cNvPr id="8" name="Rectangle: Rounded Corners 7">
          <a:extLst>
            <a:ext uri="{FF2B5EF4-FFF2-40B4-BE49-F238E27FC236}">
              <a16:creationId xmlns:a16="http://schemas.microsoft.com/office/drawing/2014/main" id="{A18FF343-7E95-4582-8977-A4D5942863F2}"/>
            </a:ext>
          </a:extLst>
        </xdr:cNvPr>
        <xdr:cNvSpPr/>
      </xdr:nvSpPr>
      <xdr:spPr>
        <a:xfrm>
          <a:off x="606778" y="4304274"/>
          <a:ext cx="7779415" cy="336103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latin typeface="Garamond" panose="02020404030301010803" pitchFamily="18" charset="0"/>
              <a:cs typeface="Arial" panose="020B0604020202020204" pitchFamily="34" charset="0"/>
            </a:rPr>
            <a:t>OBSERVATION</a:t>
          </a:r>
        </a:p>
        <a:p>
          <a:pPr algn="l"/>
          <a:endParaRPr lang="en-US" sz="1400" b="1">
            <a:solidFill>
              <a:schemeClr val="tx1"/>
            </a:solidFill>
            <a:latin typeface="Garamond" panose="02020404030301010803" pitchFamily="18" charset="0"/>
            <a:cs typeface="Arial" panose="020B0604020202020204" pitchFamily="34" charset="0"/>
          </a:endParaRPr>
        </a:p>
        <a:p>
          <a:pPr algn="l"/>
          <a:r>
            <a:rPr lang="en-US" sz="1400" b="0">
              <a:solidFill>
                <a:schemeClr val="tx1"/>
              </a:solidFill>
              <a:latin typeface="Garamond" panose="02020404030301010803" pitchFamily="18" charset="0"/>
              <a:cs typeface="Arial" panose="020B0604020202020204" pitchFamily="34" charset="0"/>
            </a:rPr>
            <a:t>Andrew Cencini's performance shows strong sales in the Eastern region, particularly in New York (both store and ship city), with June being his top month generating $11,595.00. His top-selling product categories include Jams, Preserves ($41,391.00), Dried Fruit &amp; Nuts ($11,669.50), Pasta ($9,120.00), Grains ($2,884.00), and Baked Goods &amp; Mixes ($2,116.00), with Company D as his key customer, achieving total sales of $67,180.50.</a:t>
          </a:r>
          <a:endParaRPr lang="en-NG" sz="1400" b="0">
            <a:solidFill>
              <a:schemeClr val="tx1"/>
            </a:solidFill>
            <a:latin typeface="Garamond" panose="02020404030301010803" pitchFamily="18" charset="0"/>
            <a:cs typeface="Arial" panose="020B0604020202020204" pitchFamily="34" charset="0"/>
          </a:endParaRPr>
        </a:p>
      </xdr:txBody>
    </xdr:sp>
    <xdr:clientData/>
  </xdr:twoCellAnchor>
  <xdr:twoCellAnchor>
    <xdr:from>
      <xdr:col>14</xdr:col>
      <xdr:colOff>347587</xdr:colOff>
      <xdr:row>23</xdr:row>
      <xdr:rowOff>120518</xdr:rowOff>
    </xdr:from>
    <xdr:to>
      <xdr:col>27</xdr:col>
      <xdr:colOff>237708</xdr:colOff>
      <xdr:row>41</xdr:row>
      <xdr:rowOff>175699</xdr:rowOff>
    </xdr:to>
    <xdr:sp macro="" textlink="">
      <xdr:nvSpPr>
        <xdr:cNvPr id="9" name="Rectangle: Rounded Corners 8">
          <a:extLst>
            <a:ext uri="{FF2B5EF4-FFF2-40B4-BE49-F238E27FC236}">
              <a16:creationId xmlns:a16="http://schemas.microsoft.com/office/drawing/2014/main" id="{1AF8BE1B-362F-4285-A5ED-2E4F08698BD4}"/>
            </a:ext>
          </a:extLst>
        </xdr:cNvPr>
        <xdr:cNvSpPr/>
      </xdr:nvSpPr>
      <xdr:spPr>
        <a:xfrm>
          <a:off x="8842476" y="4339740"/>
          <a:ext cx="7778232" cy="3357181"/>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Garamond" panose="02020404030301010803" pitchFamily="18" charset="0"/>
              <a:cs typeface="Arial" panose="020B0604020202020204" pitchFamily="34" charset="0"/>
            </a:rPr>
            <a:t>OBSERVATION</a:t>
          </a:r>
        </a:p>
        <a:p>
          <a:pPr algn="ctr"/>
          <a:endParaRPr lang="en-US" sz="1400" b="1">
            <a:latin typeface="Garamond" panose="02020404030301010803" pitchFamily="18" charset="0"/>
            <a:cs typeface="Arial" panose="020B0604020202020204" pitchFamily="34" charset="0"/>
          </a:endParaRPr>
        </a:p>
        <a:p>
          <a:pPr algn="l"/>
          <a:r>
            <a:rPr lang="en-US" sz="1400" b="0">
              <a:latin typeface="Garamond" panose="02020404030301010803" pitchFamily="18" charset="0"/>
              <a:cs typeface="Arial" panose="020B0604020202020204" pitchFamily="34" charset="0"/>
            </a:rPr>
            <a:t>Laura Giussani's sales performance peaked in June with $6,700.60, similar to other top salespersons, with Chicago emerging as her top sales city, generating $41,095.01 in revenue, which is one of the top regional performances on the dashboard. Her top-selling products were Condiments ($15,048.00), Baked Goods &amp; Mixes ($10,681.60), and Jams, Preserves ($8,850.00), while Beverages ($923.91) was her lowest-performing product category, and Dried Fruit &amp; Nuts ($5,591.50) performed relatively better compared to Anne's contribution. Company J was her strongest partner, contributing $11,962.00 in revenue, despite not being among the top 5 companies on the dashboard.</a:t>
          </a:r>
        </a:p>
      </xdr:txBody>
    </xdr:sp>
    <xdr:clientData/>
  </xdr:twoCellAnchor>
  <xdr:twoCellAnchor>
    <xdr:from>
      <xdr:col>41</xdr:col>
      <xdr:colOff>486193</xdr:colOff>
      <xdr:row>2</xdr:row>
      <xdr:rowOff>4233</xdr:rowOff>
    </xdr:from>
    <xdr:to>
      <xdr:col>54</xdr:col>
      <xdr:colOff>377497</xdr:colOff>
      <xdr:row>20</xdr:row>
      <xdr:rowOff>61345</xdr:rowOff>
    </xdr:to>
    <xdr:sp macro="" textlink="">
      <xdr:nvSpPr>
        <xdr:cNvPr id="10" name="Rectangle: Rounded Corners 9">
          <a:extLst>
            <a:ext uri="{FF2B5EF4-FFF2-40B4-BE49-F238E27FC236}">
              <a16:creationId xmlns:a16="http://schemas.microsoft.com/office/drawing/2014/main" id="{F210471B-E39B-4868-BFAA-A5FF22EF7CB3}"/>
            </a:ext>
          </a:extLst>
        </xdr:cNvPr>
        <xdr:cNvSpPr/>
      </xdr:nvSpPr>
      <xdr:spPr>
        <a:xfrm>
          <a:off x="25364082" y="371122"/>
          <a:ext cx="7779415" cy="335911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latin typeface="Garamond" panose="02020404030301010803" pitchFamily="18" charset="0"/>
              <a:cs typeface="Arial" panose="020B0604020202020204" pitchFamily="34" charset="0"/>
            </a:rPr>
            <a:t>OBSERVATION</a:t>
          </a:r>
        </a:p>
        <a:p>
          <a:pPr algn="l"/>
          <a:endParaRPr lang="en-NG" sz="1400" b="1">
            <a:solidFill>
              <a:schemeClr val="tx1"/>
            </a:solidFill>
            <a:latin typeface="Garamond" panose="02020404030301010803" pitchFamily="18" charset="0"/>
            <a:cs typeface="Arial" panose="020B0604020202020204" pitchFamily="34" charset="0"/>
          </a:endParaRPr>
        </a:p>
      </xdr:txBody>
    </xdr:sp>
    <xdr:clientData/>
  </xdr:twoCellAnchor>
  <xdr:twoCellAnchor>
    <xdr:from>
      <xdr:col>28</xdr:col>
      <xdr:colOff>132715</xdr:colOff>
      <xdr:row>2</xdr:row>
      <xdr:rowOff>58942</xdr:rowOff>
    </xdr:from>
    <xdr:to>
      <xdr:col>41</xdr:col>
      <xdr:colOff>24760</xdr:colOff>
      <xdr:row>20</xdr:row>
      <xdr:rowOff>116047</xdr:rowOff>
    </xdr:to>
    <xdr:sp macro="" textlink="">
      <xdr:nvSpPr>
        <xdr:cNvPr id="11" name="Rectangle: Rounded Corners 10">
          <a:extLst>
            <a:ext uri="{FF2B5EF4-FFF2-40B4-BE49-F238E27FC236}">
              <a16:creationId xmlns:a16="http://schemas.microsoft.com/office/drawing/2014/main" id="{02438546-E1F6-4911-BB55-04B77BB75D94}"/>
            </a:ext>
          </a:extLst>
        </xdr:cNvPr>
        <xdr:cNvSpPr/>
      </xdr:nvSpPr>
      <xdr:spPr>
        <a:xfrm>
          <a:off x="17122493" y="425831"/>
          <a:ext cx="7780156" cy="3359105"/>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Garamond" panose="02020404030301010803" pitchFamily="18" charset="0"/>
              <a:cs typeface="Arial" panose="020B0604020202020204" pitchFamily="34" charset="0"/>
            </a:rPr>
            <a:t>OBSERVATION</a:t>
          </a:r>
        </a:p>
      </xdr:txBody>
    </xdr:sp>
    <xdr:clientData/>
  </xdr:twoCellAnchor>
  <xdr:twoCellAnchor>
    <xdr:from>
      <xdr:col>28</xdr:col>
      <xdr:colOff>56189</xdr:colOff>
      <xdr:row>23</xdr:row>
      <xdr:rowOff>89285</xdr:rowOff>
    </xdr:from>
    <xdr:to>
      <xdr:col>40</xdr:col>
      <xdr:colOff>554271</xdr:colOff>
      <xdr:row>41</xdr:row>
      <xdr:rowOff>148321</xdr:rowOff>
    </xdr:to>
    <xdr:sp macro="" textlink="">
      <xdr:nvSpPr>
        <xdr:cNvPr id="12" name="Rectangle: Rounded Corners 11">
          <a:extLst>
            <a:ext uri="{FF2B5EF4-FFF2-40B4-BE49-F238E27FC236}">
              <a16:creationId xmlns:a16="http://schemas.microsoft.com/office/drawing/2014/main" id="{296B3B2B-5C0C-40B8-8E05-1817A4745260}"/>
            </a:ext>
          </a:extLst>
        </xdr:cNvPr>
        <xdr:cNvSpPr/>
      </xdr:nvSpPr>
      <xdr:spPr>
        <a:xfrm>
          <a:off x="17045967" y="4308507"/>
          <a:ext cx="7779415" cy="336103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latin typeface="Garamond" panose="02020404030301010803" pitchFamily="18" charset="0"/>
              <a:cs typeface="Arial" panose="020B0604020202020204" pitchFamily="34" charset="0"/>
            </a:rPr>
            <a:t>OBSERVATION</a:t>
          </a:r>
          <a:endParaRPr lang="en-NG" sz="1400" b="1">
            <a:solidFill>
              <a:schemeClr val="tx1"/>
            </a:solidFill>
            <a:latin typeface="Garamond" panose="02020404030301010803" pitchFamily="18" charset="0"/>
            <a:cs typeface="Arial" panose="020B0604020202020204" pitchFamily="34" charset="0"/>
          </a:endParaRPr>
        </a:p>
      </xdr:txBody>
    </xdr:sp>
    <xdr:clientData/>
  </xdr:twoCellAnchor>
  <xdr:twoCellAnchor>
    <xdr:from>
      <xdr:col>41</xdr:col>
      <xdr:colOff>401852</xdr:colOff>
      <xdr:row>23</xdr:row>
      <xdr:rowOff>124751</xdr:rowOff>
    </xdr:from>
    <xdr:to>
      <xdr:col>54</xdr:col>
      <xdr:colOff>293897</xdr:colOff>
      <xdr:row>41</xdr:row>
      <xdr:rowOff>179932</xdr:rowOff>
    </xdr:to>
    <xdr:sp macro="" textlink="">
      <xdr:nvSpPr>
        <xdr:cNvPr id="13" name="Rectangle: Rounded Corners 12">
          <a:extLst>
            <a:ext uri="{FF2B5EF4-FFF2-40B4-BE49-F238E27FC236}">
              <a16:creationId xmlns:a16="http://schemas.microsoft.com/office/drawing/2014/main" id="{23C3CB56-B45E-4BDF-8DE0-4F3DC149320B}"/>
            </a:ext>
          </a:extLst>
        </xdr:cNvPr>
        <xdr:cNvSpPr/>
      </xdr:nvSpPr>
      <xdr:spPr>
        <a:xfrm>
          <a:off x="25279741" y="4343973"/>
          <a:ext cx="7780156" cy="3357181"/>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Garamond" panose="02020404030301010803" pitchFamily="18" charset="0"/>
              <a:cs typeface="Arial" panose="020B0604020202020204" pitchFamily="34" charset="0"/>
            </a:rPr>
            <a:t>OBSERVATION</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14</xdr:col>
      <xdr:colOff>150445</xdr:colOff>
      <xdr:row>0</xdr:row>
      <xdr:rowOff>79130</xdr:rowOff>
    </xdr:from>
    <xdr:to>
      <xdr:col>26</xdr:col>
      <xdr:colOff>538845</xdr:colOff>
      <xdr:row>17</xdr:row>
      <xdr:rowOff>167030</xdr:rowOff>
    </xdr:to>
    <xdr:sp macro="" textlink="">
      <xdr:nvSpPr>
        <xdr:cNvPr id="2" name="Rectangle: Rounded Corners 1">
          <a:extLst>
            <a:ext uri="{FF2B5EF4-FFF2-40B4-BE49-F238E27FC236}">
              <a16:creationId xmlns:a16="http://schemas.microsoft.com/office/drawing/2014/main" id="{B5BBEB65-0F86-4D07-B362-181DF6228926}"/>
            </a:ext>
          </a:extLst>
        </xdr:cNvPr>
        <xdr:cNvSpPr/>
      </xdr:nvSpPr>
      <xdr:spPr>
        <a:xfrm>
          <a:off x="8744112" y="79130"/>
          <a:ext cx="7754400" cy="33264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effectLst/>
              <a:latin typeface="Garamond" panose="02020404030301010803" pitchFamily="18" charset="0"/>
              <a:ea typeface="+mn-ea"/>
              <a:cs typeface="+mn-cs"/>
            </a:rPr>
            <a:t>RECOMMENDATION</a:t>
          </a:r>
        </a:p>
        <a:p>
          <a:pPr algn="l"/>
          <a:r>
            <a:rPr lang="en-US" sz="1400" b="0">
              <a:solidFill>
                <a:schemeClr val="tx1"/>
              </a:solidFill>
              <a:latin typeface="Garamond" panose="02020404030301010803" pitchFamily="18" charset="0"/>
              <a:cs typeface="Arial" panose="020B0604020202020204" pitchFamily="34" charset="0"/>
            </a:rPr>
            <a:t>Anne Larsen should focus on building on her strengths in Miami and Memphis, while prioritizing sales of high-performing products like Beverages, Canned Meat, and Sauces. </a:t>
          </a:r>
        </a:p>
        <a:p>
          <a:pPr algn="l"/>
          <a:r>
            <a:rPr lang="en-US" sz="1400" b="0">
              <a:solidFill>
                <a:schemeClr val="tx1"/>
              </a:solidFill>
              <a:latin typeface="Garamond" panose="02020404030301010803" pitchFamily="18" charset="0"/>
              <a:cs typeface="Arial" panose="020B0604020202020204" pitchFamily="34" charset="0"/>
            </a:rPr>
            <a:t>- She should also nurture relationships with key customers like Company BB, Company Z, and Company K to maintain and grow revenue streams. </a:t>
          </a:r>
        </a:p>
        <a:p>
          <a:pPr algn="l"/>
          <a:r>
            <a:rPr lang="en-US" sz="1400" b="0">
              <a:solidFill>
                <a:schemeClr val="tx1"/>
              </a:solidFill>
              <a:latin typeface="Garamond" panose="02020404030301010803" pitchFamily="18" charset="0"/>
              <a:cs typeface="Arial" panose="020B0604020202020204" pitchFamily="34" charset="0"/>
            </a:rPr>
            <a:t>- Additionally, Anne should consider optimizing her product mix and pricing strategy, particularly for underperforming products like Dried Fruit and Nuts, to improve overall sales performance.</a:t>
          </a:r>
          <a:endParaRPr lang="en-NG" sz="1400" b="0">
            <a:solidFill>
              <a:schemeClr val="tx1"/>
            </a:solidFill>
            <a:latin typeface="Garamond" panose="02020404030301010803" pitchFamily="18" charset="0"/>
            <a:cs typeface="Arial" panose="020B0604020202020204" pitchFamily="34" charset="0"/>
          </a:endParaRPr>
        </a:p>
      </xdr:txBody>
    </xdr:sp>
    <xdr:clientData/>
  </xdr:twoCellAnchor>
  <xdr:twoCellAnchor>
    <xdr:from>
      <xdr:col>0</xdr:col>
      <xdr:colOff>527538</xdr:colOff>
      <xdr:row>0</xdr:row>
      <xdr:rowOff>133839</xdr:rowOff>
    </xdr:from>
    <xdr:to>
      <xdr:col>13</xdr:col>
      <xdr:colOff>302846</xdr:colOff>
      <xdr:row>18</xdr:row>
      <xdr:rowOff>29308</xdr:rowOff>
    </xdr:to>
    <xdr:sp macro="" textlink="">
      <xdr:nvSpPr>
        <xdr:cNvPr id="4" name="Rectangle: Rounded Corners 3">
          <a:extLst>
            <a:ext uri="{FF2B5EF4-FFF2-40B4-BE49-F238E27FC236}">
              <a16:creationId xmlns:a16="http://schemas.microsoft.com/office/drawing/2014/main" id="{9EBB824C-3964-4165-AB32-B64D04730CD4}"/>
            </a:ext>
          </a:extLst>
        </xdr:cNvPr>
        <xdr:cNvSpPr/>
      </xdr:nvSpPr>
      <xdr:spPr>
        <a:xfrm>
          <a:off x="527538" y="133839"/>
          <a:ext cx="7663419" cy="3197469"/>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Garamond" panose="02020404030301010803" pitchFamily="18" charset="0"/>
              <a:cs typeface="Arial" panose="020B0604020202020204" pitchFamily="34" charset="0"/>
            </a:rPr>
            <a:t>RECOMMENDATION</a:t>
          </a:r>
        </a:p>
        <a:p>
          <a:pPr algn="l"/>
          <a:r>
            <a:rPr lang="en-US" sz="1400" b="1">
              <a:latin typeface="Garamond" panose="02020404030301010803" pitchFamily="18" charset="0"/>
              <a:cs typeface="Arial" panose="020B0604020202020204" pitchFamily="34" charset="0"/>
            </a:rPr>
            <a:t>For Jan</a:t>
          </a:r>
          <a:r>
            <a:rPr lang="en-US" sz="1400" b="1" baseline="0">
              <a:latin typeface="Garamond" panose="02020404030301010803" pitchFamily="18" charset="0"/>
              <a:cs typeface="Arial" panose="020B0604020202020204" pitchFamily="34" charset="0"/>
            </a:rPr>
            <a:t> Katos:</a:t>
          </a:r>
        </a:p>
        <a:p>
          <a:pPr algn="l"/>
          <a:endParaRPr lang="en-US" sz="1400" b="1">
            <a:latin typeface="Garamond" panose="02020404030301010803" pitchFamily="18" charset="0"/>
            <a:cs typeface="Arial" panose="020B0604020202020204" pitchFamily="34" charset="0"/>
          </a:endParaRPr>
        </a:p>
        <a:p>
          <a:pPr algn="l"/>
          <a:r>
            <a:rPr lang="en-US" sz="1400" b="0">
              <a:latin typeface="Garamond" panose="02020404030301010803" pitchFamily="18" charset="0"/>
              <a:cs typeface="Arial" panose="020B0604020202020204" pitchFamily="34" charset="0"/>
            </a:rPr>
            <a:t>- Continue to focus on these top-selling products (Beverages, Fruits &amp; Veg and Candy) in the Western region, exploring opportunities to increase market share.</a:t>
          </a:r>
        </a:p>
        <a:p>
          <a:pPr algn="l"/>
          <a:r>
            <a:rPr lang="en-US" sz="1400" b="0">
              <a:latin typeface="Garamond" panose="02020404030301010803" pitchFamily="18" charset="0"/>
              <a:cs typeface="Arial" panose="020B0604020202020204" pitchFamily="34" charset="0"/>
            </a:rPr>
            <a:t>- Strengthen the partnership with company CC to maintain and increase revenue generation.</a:t>
          </a:r>
        </a:p>
        <a:p>
          <a:pPr algn="l"/>
          <a:r>
            <a:rPr lang="en-US" sz="1400" b="0">
              <a:latin typeface="Garamond" panose="02020404030301010803" pitchFamily="18" charset="0"/>
              <a:cs typeface="Arial" panose="020B0604020202020204" pitchFamily="34" charset="0"/>
            </a:rPr>
            <a:t>-  Leverage the success in Denver to expand market presence and explore new business opportunities.</a:t>
          </a:r>
        </a:p>
        <a:p>
          <a:pPr algn="l"/>
          <a:r>
            <a:rPr lang="en-US" sz="1400" b="0">
              <a:latin typeface="Garamond" panose="02020404030301010803" pitchFamily="18" charset="0"/>
              <a:cs typeface="Arial" panose="020B0604020202020204" pitchFamily="34" charset="0"/>
            </a:rPr>
            <a:t>-</a:t>
          </a:r>
        </a:p>
      </xdr:txBody>
    </xdr:sp>
    <xdr:clientData/>
  </xdr:twoCellAnchor>
  <xdr:twoCellAnchor>
    <xdr:from>
      <xdr:col>0</xdr:col>
      <xdr:colOff>610722</xdr:colOff>
      <xdr:row>20</xdr:row>
      <xdr:rowOff>620</xdr:rowOff>
    </xdr:from>
    <xdr:to>
      <xdr:col>13</xdr:col>
      <xdr:colOff>383365</xdr:colOff>
      <xdr:row>37</xdr:row>
      <xdr:rowOff>88520</xdr:rowOff>
    </xdr:to>
    <xdr:sp macro="" textlink="">
      <xdr:nvSpPr>
        <xdr:cNvPr id="16" name="Rectangle: Rounded Corners 15">
          <a:extLst>
            <a:ext uri="{FF2B5EF4-FFF2-40B4-BE49-F238E27FC236}">
              <a16:creationId xmlns:a16="http://schemas.microsoft.com/office/drawing/2014/main" id="{3A8D6856-FE00-4007-8933-06543E6DCB5D}"/>
            </a:ext>
          </a:extLst>
        </xdr:cNvPr>
        <xdr:cNvSpPr/>
      </xdr:nvSpPr>
      <xdr:spPr>
        <a:xfrm>
          <a:off x="610722" y="3849105"/>
          <a:ext cx="7777491" cy="335911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effectLst/>
              <a:latin typeface="Garamond" panose="02020404030301010803" pitchFamily="18" charset="0"/>
              <a:ea typeface="+mn-ea"/>
              <a:cs typeface="+mn-cs"/>
            </a:rPr>
            <a:t>RECOMMENDATION</a:t>
          </a:r>
        </a:p>
        <a:p>
          <a:pPr algn="l"/>
          <a:r>
            <a:rPr lang="en-US" sz="1400" b="1">
              <a:solidFill>
                <a:schemeClr val="tx1"/>
              </a:solidFill>
              <a:effectLst/>
              <a:latin typeface="Garamond" panose="02020404030301010803" pitchFamily="18" charset="0"/>
              <a:ea typeface="+mn-ea"/>
              <a:cs typeface="+mn-cs"/>
            </a:rPr>
            <a:t>For Andrew Cencini:</a:t>
          </a:r>
        </a:p>
        <a:p>
          <a:pPr algn="l"/>
          <a:endParaRPr lang="en-US" sz="1400" b="0">
            <a:solidFill>
              <a:schemeClr val="tx1"/>
            </a:solidFill>
            <a:latin typeface="Garamond" panose="02020404030301010803" pitchFamily="18" charset="0"/>
            <a:cs typeface="Arial" panose="020B0604020202020204" pitchFamily="34" charset="0"/>
          </a:endParaRPr>
        </a:p>
        <a:p>
          <a:pPr algn="l"/>
          <a:r>
            <a:rPr lang="en-US" sz="1400" b="0">
              <a:solidFill>
                <a:schemeClr val="tx1"/>
              </a:solidFill>
              <a:latin typeface="Garamond" panose="02020404030301010803" pitchFamily="18" charset="0"/>
              <a:cs typeface="Arial" panose="020B0604020202020204" pitchFamily="34" charset="0"/>
            </a:rPr>
            <a:t>- Diversify product offerings</a:t>
          </a:r>
          <a:r>
            <a:rPr lang="en-US" sz="1400" b="0" baseline="0">
              <a:solidFill>
                <a:schemeClr val="tx1"/>
              </a:solidFill>
              <a:latin typeface="Garamond" panose="02020404030301010803" pitchFamily="18" charset="0"/>
              <a:cs typeface="Arial" panose="020B0604020202020204" pitchFamily="34" charset="0"/>
            </a:rPr>
            <a:t> w</a:t>
          </a:r>
          <a:r>
            <a:rPr lang="en-US" sz="1400" b="0">
              <a:solidFill>
                <a:schemeClr val="tx1"/>
              </a:solidFill>
              <a:latin typeface="Garamond" panose="02020404030301010803" pitchFamily="18" charset="0"/>
              <a:cs typeface="Arial" panose="020B0604020202020204" pitchFamily="34" charset="0"/>
            </a:rPr>
            <a:t>hile maintaining the sales of top products like Jams, Preserves, and Dried Fruit &amp; Nuts, explore opportunities to introduce new products in the Eastern region.</a:t>
          </a:r>
        </a:p>
        <a:p>
          <a:pPr algn="l"/>
          <a:r>
            <a:rPr lang="en-US" sz="1400" b="0">
              <a:solidFill>
                <a:schemeClr val="tx1"/>
              </a:solidFill>
              <a:latin typeface="Garamond" panose="02020404030301010803" pitchFamily="18" charset="0"/>
              <a:cs typeface="Arial" panose="020B0604020202020204" pitchFamily="34" charset="0"/>
            </a:rPr>
            <a:t>-</a:t>
          </a:r>
          <a:r>
            <a:rPr lang="en-US" sz="1400" b="0" baseline="0">
              <a:solidFill>
                <a:schemeClr val="tx1"/>
              </a:solidFill>
              <a:latin typeface="Garamond" panose="02020404030301010803" pitchFamily="18" charset="0"/>
              <a:cs typeface="Arial" panose="020B0604020202020204" pitchFamily="34" charset="0"/>
            </a:rPr>
            <a:t> Nurture the relationship with Company D to ensure continued revenue growth and potential expansion of business opportunities.</a:t>
          </a:r>
        </a:p>
        <a:p>
          <a:pPr algn="l"/>
          <a:r>
            <a:rPr lang="en-US" sz="1400" b="0" baseline="0">
              <a:solidFill>
                <a:schemeClr val="tx1"/>
              </a:solidFill>
              <a:latin typeface="Garamond" panose="02020404030301010803" pitchFamily="18" charset="0"/>
              <a:cs typeface="Arial" panose="020B0604020202020204" pitchFamily="34" charset="0"/>
            </a:rPr>
            <a:t>- Continue to capitalize on the success in New York, exploring ways to increase market share and expand presence in the region.</a:t>
          </a:r>
          <a:endParaRPr lang="en-US" sz="1400" b="0">
            <a:solidFill>
              <a:schemeClr val="tx1"/>
            </a:solidFill>
            <a:latin typeface="Garamond" panose="02020404030301010803" pitchFamily="18" charset="0"/>
            <a:cs typeface="Arial" panose="020B0604020202020204" pitchFamily="34" charset="0"/>
          </a:endParaRPr>
        </a:p>
      </xdr:txBody>
    </xdr:sp>
    <xdr:clientData/>
  </xdr:twoCellAnchor>
  <xdr:twoCellAnchor>
    <xdr:from>
      <xdr:col>14</xdr:col>
      <xdr:colOff>295088</xdr:colOff>
      <xdr:row>20</xdr:row>
      <xdr:rowOff>93814</xdr:rowOff>
    </xdr:from>
    <xdr:to>
      <xdr:col>27</xdr:col>
      <xdr:colOff>70395</xdr:colOff>
      <xdr:row>37</xdr:row>
      <xdr:rowOff>181707</xdr:rowOff>
    </xdr:to>
    <xdr:sp macro="" textlink="">
      <xdr:nvSpPr>
        <xdr:cNvPr id="17" name="Rectangle: Rounded Corners 16">
          <a:extLst>
            <a:ext uri="{FF2B5EF4-FFF2-40B4-BE49-F238E27FC236}">
              <a16:creationId xmlns:a16="http://schemas.microsoft.com/office/drawing/2014/main" id="{0AAC2856-A25F-407B-B657-2A25BB122305}"/>
            </a:ext>
          </a:extLst>
        </xdr:cNvPr>
        <xdr:cNvSpPr/>
      </xdr:nvSpPr>
      <xdr:spPr>
        <a:xfrm>
          <a:off x="8915694" y="3942299"/>
          <a:ext cx="7780156" cy="3359105"/>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Garamond" panose="02020404030301010803" pitchFamily="18" charset="0"/>
              <a:cs typeface="Arial" panose="020B0604020202020204" pitchFamily="34" charset="0"/>
            </a:rPr>
            <a:t>RECOMMENDATION</a:t>
          </a:r>
        </a:p>
        <a:p>
          <a:pPr algn="ctr"/>
          <a:endParaRPr lang="en-US" sz="1400" b="1">
            <a:latin typeface="Garamond" panose="02020404030301010803" pitchFamily="18" charset="0"/>
            <a:cs typeface="Arial" panose="020B0604020202020204" pitchFamily="34" charset="0"/>
          </a:endParaRPr>
        </a:p>
        <a:p>
          <a:pPr algn="l"/>
          <a:r>
            <a:rPr lang="en-US" sz="1400" b="0">
              <a:latin typeface="Garamond" panose="02020404030301010803" pitchFamily="18" charset="0"/>
              <a:cs typeface="Arial" panose="020B0604020202020204" pitchFamily="34" charset="0"/>
            </a:rPr>
            <a:t>-</a:t>
          </a:r>
          <a:r>
            <a:rPr lang="en-US" sz="1400" b="0" baseline="0">
              <a:latin typeface="Garamond" panose="02020404030301010803" pitchFamily="18" charset="0"/>
              <a:cs typeface="Arial" panose="020B0604020202020204" pitchFamily="34" charset="0"/>
            </a:rPr>
            <a:t> </a:t>
          </a:r>
          <a:r>
            <a:rPr lang="en-US" sz="1400" b="0">
              <a:latin typeface="Garamond" panose="02020404030301010803" pitchFamily="18" charset="0"/>
              <a:cs typeface="Arial" panose="020B0604020202020204" pitchFamily="34" charset="0"/>
            </a:rPr>
            <a:t>Based on the observation, Laura Giussani should focus on scaling her successful sales strategies in Chicago, while exploring opportunities to improve sales of underperforming products like Beverages. </a:t>
          </a:r>
        </a:p>
        <a:p>
          <a:pPr algn="l"/>
          <a:r>
            <a:rPr lang="en-US" sz="1400" b="0">
              <a:latin typeface="Garamond" panose="02020404030301010803" pitchFamily="18" charset="0"/>
              <a:cs typeface="Arial" panose="020B0604020202020204" pitchFamily="34" charset="0"/>
            </a:rPr>
            <a:t>-</a:t>
          </a:r>
          <a:r>
            <a:rPr lang="en-US" sz="1400" b="0" baseline="0">
              <a:latin typeface="Garamond" panose="02020404030301010803" pitchFamily="18" charset="0"/>
              <a:cs typeface="Arial" panose="020B0604020202020204" pitchFamily="34" charset="0"/>
            </a:rPr>
            <a:t> </a:t>
          </a:r>
          <a:r>
            <a:rPr lang="en-US" sz="1400" b="0">
              <a:latin typeface="Garamond" panose="02020404030301010803" pitchFamily="18" charset="0"/>
              <a:cs typeface="Arial" panose="020B0604020202020204" pitchFamily="34" charset="0"/>
            </a:rPr>
            <a:t>She should also leverage her strong partnership with Company J to drive more revenue and consider analyzing customer preferences to optimize her product mix. Additionally, </a:t>
          </a:r>
        </a:p>
        <a:p>
          <a:pPr algn="l"/>
          <a:r>
            <a:rPr lang="en-US" sz="1400" b="0">
              <a:latin typeface="Garamond" panose="02020404030301010803" pitchFamily="18" charset="0"/>
              <a:cs typeface="Arial" panose="020B0604020202020204" pitchFamily="34" charset="0"/>
            </a:rPr>
            <a:t>- Laura's ability to outperform in certain product categories like Condiments and Baked Goods &amp; Mixes showcases her potential for growth, and with targeted support, she can further enhance her sales performance.</a:t>
          </a:r>
        </a:p>
        <a:p>
          <a:pPr algn="l"/>
          <a:r>
            <a:rPr lang="en-US" sz="1400" b="0">
              <a:latin typeface="Garamond" panose="02020404030301010803" pitchFamily="18" charset="0"/>
              <a:cs typeface="Arial" panose="020B0604020202020204" pitchFamily="34" charset="0"/>
            </a:rPr>
            <a:t>-</a:t>
          </a:r>
          <a:r>
            <a:rPr lang="en-US" sz="1400" b="0" baseline="0">
              <a:latin typeface="Garamond" panose="02020404030301010803" pitchFamily="18" charset="0"/>
              <a:cs typeface="Arial" panose="020B0604020202020204" pitchFamily="34" charset="0"/>
            </a:rPr>
            <a:t> She should d</a:t>
          </a:r>
          <a:r>
            <a:rPr lang="en-US" sz="1400" b="0">
              <a:latin typeface="Garamond" panose="02020404030301010803" pitchFamily="18" charset="0"/>
              <a:cs typeface="Arial" panose="020B0604020202020204" pitchFamily="34" charset="0"/>
            </a:rPr>
            <a:t>evelop targeted marketing campaigns to boost sales of Beverages</a:t>
          </a:r>
        </a:p>
        <a:p>
          <a:pPr algn="l"/>
          <a:r>
            <a:rPr lang="en-US" sz="1400" b="0">
              <a:latin typeface="Garamond" panose="02020404030301010803" pitchFamily="18" charset="0"/>
              <a:cs typeface="Arial" panose="020B0604020202020204" pitchFamily="34" charset="0"/>
            </a:rPr>
            <a:t>- Conduct customer feedback sessions to refine product offerings</a:t>
          </a:r>
        </a:p>
        <a:p>
          <a:pPr algn="l"/>
          <a:r>
            <a:rPr lang="en-US" sz="1400" b="0">
              <a:latin typeface="Garamond" panose="02020404030301010803" pitchFamily="18" charset="0"/>
              <a:cs typeface="Arial" panose="020B0604020202020204" pitchFamily="34" charset="0"/>
            </a:rPr>
            <a:t>- Laura Giussani can build on her strengths, address areas for improvement, and drive continued sales growth.</a:t>
          </a:r>
        </a:p>
      </xdr:txBody>
    </xdr:sp>
    <xdr:clientData/>
  </xdr:twoCellAnchor>
  <xdr:twoCellAnchor>
    <xdr:from>
      <xdr:col>40</xdr:col>
      <xdr:colOff>572239</xdr:colOff>
      <xdr:row>0</xdr:row>
      <xdr:rowOff>0</xdr:rowOff>
    </xdr:from>
    <xdr:to>
      <xdr:col>53</xdr:col>
      <xdr:colOff>344881</xdr:colOff>
      <xdr:row>17</xdr:row>
      <xdr:rowOff>87900</xdr:rowOff>
    </xdr:to>
    <xdr:sp macro="" textlink="">
      <xdr:nvSpPr>
        <xdr:cNvPr id="18" name="Rectangle: Rounded Corners 17">
          <a:extLst>
            <a:ext uri="{FF2B5EF4-FFF2-40B4-BE49-F238E27FC236}">
              <a16:creationId xmlns:a16="http://schemas.microsoft.com/office/drawing/2014/main" id="{FECC10CD-395B-40E4-B343-8142C8B4BD2B}"/>
            </a:ext>
          </a:extLst>
        </xdr:cNvPr>
        <xdr:cNvSpPr/>
      </xdr:nvSpPr>
      <xdr:spPr>
        <a:xfrm>
          <a:off x="25202542" y="0"/>
          <a:ext cx="7777491" cy="335911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effectLst/>
              <a:latin typeface="Garamond" panose="02020404030301010803" pitchFamily="18" charset="0"/>
              <a:ea typeface="+mn-ea"/>
              <a:cs typeface="+mn-cs"/>
            </a:rPr>
            <a:t>RECOMMENDATION</a:t>
          </a:r>
          <a:endParaRPr lang="en-NG" sz="1400" b="1">
            <a:solidFill>
              <a:schemeClr val="tx1"/>
            </a:solidFill>
            <a:latin typeface="Garamond" panose="02020404030301010803" pitchFamily="18" charset="0"/>
            <a:cs typeface="Arial" panose="020B0604020202020204" pitchFamily="34" charset="0"/>
          </a:endParaRPr>
        </a:p>
      </xdr:txBody>
    </xdr:sp>
    <xdr:clientData/>
  </xdr:twoCellAnchor>
  <xdr:twoCellAnchor>
    <xdr:from>
      <xdr:col>27</xdr:col>
      <xdr:colOff>333574</xdr:colOff>
      <xdr:row>0</xdr:row>
      <xdr:rowOff>54709</xdr:rowOff>
    </xdr:from>
    <xdr:to>
      <xdr:col>40</xdr:col>
      <xdr:colOff>108882</xdr:colOff>
      <xdr:row>17</xdr:row>
      <xdr:rowOff>142602</xdr:rowOff>
    </xdr:to>
    <xdr:sp macro="" textlink="">
      <xdr:nvSpPr>
        <xdr:cNvPr id="19" name="Rectangle: Rounded Corners 18">
          <a:extLst>
            <a:ext uri="{FF2B5EF4-FFF2-40B4-BE49-F238E27FC236}">
              <a16:creationId xmlns:a16="http://schemas.microsoft.com/office/drawing/2014/main" id="{2CFF8BC0-6E97-4C6B-9C35-869D446A9B35}"/>
            </a:ext>
          </a:extLst>
        </xdr:cNvPr>
        <xdr:cNvSpPr/>
      </xdr:nvSpPr>
      <xdr:spPr>
        <a:xfrm>
          <a:off x="16959029" y="54709"/>
          <a:ext cx="7780156" cy="3359105"/>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Garamond" panose="02020404030301010803" pitchFamily="18" charset="0"/>
              <a:cs typeface="Arial" panose="020B0604020202020204" pitchFamily="34" charset="0"/>
            </a:rPr>
            <a:t>RECOMMENDATION</a:t>
          </a:r>
        </a:p>
      </xdr:txBody>
    </xdr:sp>
    <xdr:clientData/>
  </xdr:twoCellAnchor>
  <xdr:twoCellAnchor>
    <xdr:from>
      <xdr:col>27</xdr:col>
      <xdr:colOff>416758</xdr:colOff>
      <xdr:row>19</xdr:row>
      <xdr:rowOff>113914</xdr:rowOff>
    </xdr:from>
    <xdr:to>
      <xdr:col>40</xdr:col>
      <xdr:colOff>189401</xdr:colOff>
      <xdr:row>37</xdr:row>
      <xdr:rowOff>9390</xdr:rowOff>
    </xdr:to>
    <xdr:sp macro="" textlink="">
      <xdr:nvSpPr>
        <xdr:cNvPr id="20" name="Rectangle: Rounded Corners 19">
          <a:extLst>
            <a:ext uri="{FF2B5EF4-FFF2-40B4-BE49-F238E27FC236}">
              <a16:creationId xmlns:a16="http://schemas.microsoft.com/office/drawing/2014/main" id="{5A1AD337-B742-4DEE-83CE-839FE8954FD2}"/>
            </a:ext>
          </a:extLst>
        </xdr:cNvPr>
        <xdr:cNvSpPr/>
      </xdr:nvSpPr>
      <xdr:spPr>
        <a:xfrm>
          <a:off x="17042213" y="3769975"/>
          <a:ext cx="7777491" cy="335911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effectLst/>
              <a:latin typeface="Garamond" panose="02020404030301010803" pitchFamily="18" charset="0"/>
              <a:ea typeface="+mn-ea"/>
              <a:cs typeface="+mn-cs"/>
            </a:rPr>
            <a:t>RECOMMENDATION</a:t>
          </a:r>
          <a:endParaRPr lang="en-NG" sz="1400" b="1">
            <a:solidFill>
              <a:schemeClr val="tx1"/>
            </a:solidFill>
            <a:latin typeface="Garamond" panose="02020404030301010803" pitchFamily="18" charset="0"/>
            <a:cs typeface="Arial" panose="020B0604020202020204" pitchFamily="34" charset="0"/>
          </a:endParaRPr>
        </a:p>
      </xdr:txBody>
    </xdr:sp>
    <xdr:clientData/>
  </xdr:twoCellAnchor>
  <xdr:twoCellAnchor>
    <xdr:from>
      <xdr:col>41</xdr:col>
      <xdr:colOff>101124</xdr:colOff>
      <xdr:row>20</xdr:row>
      <xdr:rowOff>14684</xdr:rowOff>
    </xdr:from>
    <xdr:to>
      <xdr:col>53</xdr:col>
      <xdr:colOff>492189</xdr:colOff>
      <xdr:row>37</xdr:row>
      <xdr:rowOff>102577</xdr:rowOff>
    </xdr:to>
    <xdr:sp macro="" textlink="">
      <xdr:nvSpPr>
        <xdr:cNvPr id="21" name="Rectangle: Rounded Corners 20">
          <a:extLst>
            <a:ext uri="{FF2B5EF4-FFF2-40B4-BE49-F238E27FC236}">
              <a16:creationId xmlns:a16="http://schemas.microsoft.com/office/drawing/2014/main" id="{19E30493-DA30-403E-982D-B9725D395263}"/>
            </a:ext>
          </a:extLst>
        </xdr:cNvPr>
        <xdr:cNvSpPr/>
      </xdr:nvSpPr>
      <xdr:spPr>
        <a:xfrm>
          <a:off x="25347185" y="3863169"/>
          <a:ext cx="7780156" cy="3359105"/>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Garamond" panose="02020404030301010803" pitchFamily="18" charset="0"/>
              <a:cs typeface="Arial" panose="020B0604020202020204" pitchFamily="34" charset="0"/>
            </a:rPr>
            <a:t>RECOMMENDATION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au Shittu" refreshedDate="45869.551431481479" createdVersion="8" refreshedVersion="7" minRefreshableVersion="3" recordCount="369" xr:uid="{A19F34BF-A71C-460D-A7AF-7FC58461A1B1}">
  <cacheSource type="worksheet">
    <worksheetSource ref="A1:Z370" sheet="Data (2)"/>
  </cacheSource>
  <cacheFields count="26">
    <cacheField name="Order ID" numFmtId="0">
      <sharedItems containsSemiMixedTypes="0" containsString="0" containsNumber="1" containsInteger="1" minValue="1001" maxValue="1432"/>
    </cacheField>
    <cacheField name="Order Date" numFmtId="165">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base="1">
        <rangePr groupBy="months" startDate="2014-01-01T00:00:00" endDate="2014-12-30T00:00:00"/>
        <groupItems count="14">
          <s v="&lt;01/01/2014"/>
          <s v="Jan"/>
          <s v="Feb"/>
          <s v="Mar"/>
          <s v="Apr"/>
          <s v="May"/>
          <s v="Jun"/>
          <s v="Jul"/>
          <s v="Aug"/>
          <s v="Sep"/>
          <s v="Oct"/>
          <s v="Nov"/>
          <s v="Dec"/>
          <s v="&gt;30/12/2014"/>
        </groupItems>
      </fieldGroup>
    </cacheField>
    <cacheField name="Customer ID" numFmtId="0">
      <sharedItems containsSemiMixedTypes="0" containsString="0" containsNumber="1" containsInteger="1" minValue="1" maxValue="29" count="15">
        <n v="27"/>
        <n v="4"/>
        <n v="12"/>
        <n v="8"/>
        <n v="29"/>
        <n v="3"/>
        <n v="6"/>
        <n v="28"/>
        <n v="10"/>
        <n v="7"/>
        <n v="11"/>
        <n v="1"/>
        <n v="9"/>
        <n v="25"/>
        <n v="26"/>
      </sharedItems>
    </cacheField>
    <cacheField name="Customer Name" numFmtId="0">
      <sharedItems count="15">
        <s v="Company AA"/>
        <s v="Company D"/>
        <s v="Company L"/>
        <s v="Company H"/>
        <s v="Company CC"/>
        <s v="Company C"/>
        <s v="Company F"/>
        <s v="Company BB"/>
        <s v="Company J"/>
        <s v="Company G"/>
        <s v="Company K"/>
        <s v="Company A"/>
        <s v="Company I"/>
        <s v="Company Y"/>
        <s v="Company Z"/>
      </sharedItems>
    </cacheField>
    <cacheField name="Address" numFmtId="0">
      <sharedItems/>
    </cacheField>
    <cacheField name="City" numFmtId="0">
      <sharedItems count="12">
        <s v="Las Vegas"/>
        <s v="New York"/>
        <s v="Portland"/>
        <s v="Denver"/>
        <s v="Los Angelas"/>
        <s v="Milwaukee"/>
        <s v="Memphis"/>
        <s v="Chicago"/>
        <s v="Boise"/>
        <s v="Miami"/>
        <s v="Seattle"/>
        <s v="Salt Lake City"/>
      </sharedItems>
    </cacheField>
    <cacheField name="State" numFmtId="0">
      <sharedItems count="12">
        <s v="NV"/>
        <s v="NY"/>
        <s v="OR"/>
        <s v="CO"/>
        <s v="CA"/>
        <s v="WI"/>
        <s v="TN"/>
        <s v="IL"/>
        <s v="ID"/>
        <s v="FL"/>
        <s v="WA"/>
        <s v="UT"/>
      </sharedItems>
    </cacheField>
    <cacheField name="ZIP/Postal Code" numFmtId="0">
      <sharedItems containsSemiMixedTypes="0" containsString="0" containsNumber="1" containsInteger="1" minValue="99999" maxValue="99999"/>
    </cacheField>
    <cacheField name="Country/Region" numFmtId="0">
      <sharedItems count="1">
        <s v="USA"/>
      </sharedItems>
    </cacheField>
    <cacheField name="Salesperson" numFmtId="0">
      <sharedItems count="8">
        <s v="Mariya Sergienko"/>
        <s v="Andrew Cencini"/>
        <s v="Nancy Freehafer"/>
        <s v="Jan Kotas"/>
        <s v="Michael Neipper"/>
        <s v="Anne Larsen"/>
        <s v="Laura Giussani"/>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2014-12-09T00:00:00"/>
    </cacheField>
    <cacheField name="Shipper Name" numFmtId="0">
      <sharedItems containsBlank="1"/>
    </cacheField>
    <cacheField name="Ship Name" numFmtId="0">
      <sharedItems/>
    </cacheField>
    <cacheField name="Ship Address" numFmtId="0">
      <sharedItems/>
    </cacheField>
    <cacheField name="Ship City" numFmtId="0">
      <sharedItems count="12">
        <s v="Las Vegas"/>
        <s v="New York"/>
        <s v="Portland"/>
        <s v="Denver"/>
        <s v="Los Angelas"/>
        <s v="Milwaukee"/>
        <s v="Memphis"/>
        <s v="Chicago"/>
        <s v="Boise"/>
        <s v="Miami"/>
        <s v="Seattle"/>
        <s v="Salt Lake City"/>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acheField>
    <cacheField name="Payment Type" numFmtId="0">
      <sharedItems containsBlank="1"/>
    </cacheField>
    <cacheField name="Product Name" numFmtId="0">
      <sharedItems containsBlank="1" count="25">
        <s v="Beer"/>
        <s v="Dried Plums"/>
        <s v="Dried Pears"/>
        <s v="Dried Apples"/>
        <s v="Chai"/>
        <s v="Coffee"/>
        <s v="Chocolate Biscuits Mix"/>
        <s v="Chocolate"/>
        <s v="Clam Chowder"/>
        <s v="Curry Sauce"/>
        <s v="Green Tea"/>
        <s v="Boysenberry Spread"/>
        <s v="Cajun Seasoning"/>
        <s v="Crab Meat"/>
        <s v="Ravioli"/>
        <s v="Mozzarella"/>
        <s v="Syrup"/>
        <m/>
        <s v="Almonds"/>
        <s v="Fruit Cocktail"/>
        <s v="Gnocchi"/>
        <s v="Scones"/>
        <s v="Olive Oil"/>
        <s v="Marmalade"/>
        <s v="Long Grain Rice"/>
      </sharedItems>
    </cacheField>
    <cacheField name="Category" numFmtId="0">
      <sharedItems count="16">
        <s v="Beverages"/>
        <s v="Dried Fruit &amp; Nuts"/>
        <s v="Baked Goods &amp; Mixes"/>
        <s v="Candy"/>
        <s v="Soups"/>
        <s v="Sauces"/>
        <s v="Jams, Preserves"/>
        <s v="Condiments"/>
        <s v="Canned Meat"/>
        <s v="Pasta"/>
        <s v="Dairy Products"/>
        <s v="Shipping Fee Error"/>
        <s v="Fruit &amp; Veg"/>
        <s v="Oil"/>
        <s v="Grains"/>
        <s v="Shipping Fee " u="1"/>
      </sharedItems>
    </cacheField>
    <cacheField name="Unit Price" numFmtId="0">
      <sharedItems containsString="0" containsBlank="1" containsNumber="1" minValue="2.99" maxValue="81"/>
    </cacheField>
    <cacheField name="Quantity" numFmtId="0">
      <sharedItems containsString="0" containsBlank="1" containsNumber="1" containsInteger="1" minValue="10" maxValue="100"/>
    </cacheField>
    <cacheField name="Revenue" numFmtId="166">
      <sharedItems containsSemiMixedTypes="0" containsString="0" containsNumber="1" minValue="10" maxValue="7938" count="315">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10"/>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4">
        <rangePr autoStart="0" startNum="0" endNum="7938" groupInterval="1000"/>
        <groupItems count="10">
          <s v="&lt;0"/>
          <s v="0-1000"/>
          <s v="1000-2000"/>
          <s v="2000-3000"/>
          <s v="3000-4000"/>
          <s v="4000-5000"/>
          <s v="5000-6000"/>
          <s v="6000-7000"/>
          <s v="7000-8000"/>
          <s v="&gt;8000"/>
        </groupItems>
      </fieldGroup>
    </cacheField>
    <cacheField name="Shipping Fee" numFmtId="166">
      <sharedItems containsSemiMixedTypes="0" containsString="0" containsNumber="1" minValue="3.7345000000000002" maxValue="769.98599999999999"/>
    </cacheField>
  </cacheFields>
  <extLst>
    <ext xmlns:x14="http://schemas.microsoft.com/office/spreadsheetml/2009/9/main" uri="{725AE2AE-9491-48be-B2B4-4EB974FC3084}">
      <x14:pivotCacheDefinition pivotCacheId="13497966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n v="1001"/>
    <x v="0"/>
    <x v="0"/>
    <x v="0"/>
    <s v="789 27th Street"/>
    <x v="0"/>
    <x v="0"/>
    <n v="99999"/>
    <s v="USA"/>
    <x v="0"/>
    <x v="0"/>
    <d v="2014-01-29T00:00:00"/>
    <s v="Shipping Company B"/>
    <s v="Karen Toh"/>
    <s v="789 27th Street"/>
    <x v="0"/>
    <s v="NV"/>
    <n v="99999"/>
    <s v="USA"/>
    <s v="Check"/>
    <x v="0"/>
    <x v="0"/>
    <n v="14"/>
    <n v="49"/>
    <x v="0"/>
    <n v="66.542000000000002"/>
  </r>
  <r>
    <n v="1002"/>
    <x v="0"/>
    <x v="0"/>
    <x v="0"/>
    <s v="789 27th Street"/>
    <x v="0"/>
    <x v="0"/>
    <n v="99999"/>
    <s v="USA"/>
    <x v="0"/>
    <x v="0"/>
    <d v="2014-01-29T00:00:00"/>
    <s v="Shipping Company B"/>
    <s v="Karen Toh"/>
    <s v="789 27th Street"/>
    <x v="0"/>
    <s v="NV"/>
    <n v="99999"/>
    <s v="USA"/>
    <s v="Check"/>
    <x v="1"/>
    <x v="1"/>
    <n v="3.5"/>
    <n v="47"/>
    <x v="1"/>
    <n v="16.6145"/>
  </r>
  <r>
    <n v="1003"/>
    <x v="1"/>
    <x v="1"/>
    <x v="1"/>
    <s v="123 4th Street"/>
    <x v="1"/>
    <x v="1"/>
    <n v="99999"/>
    <s v="USA"/>
    <x v="1"/>
    <x v="1"/>
    <d v="2014-01-06T00:00:00"/>
    <s v="Shipping Company A"/>
    <s v="Christina Lee"/>
    <s v="123 4th Street"/>
    <x v="1"/>
    <s v="NY"/>
    <n v="99999"/>
    <s v="USA"/>
    <s v="Credit Card"/>
    <x v="2"/>
    <x v="1"/>
    <n v="30"/>
    <n v="69"/>
    <x v="2"/>
    <n v="198.72"/>
  </r>
  <r>
    <n v="1004"/>
    <x v="1"/>
    <x v="1"/>
    <x v="1"/>
    <s v="123 4th Street"/>
    <x v="1"/>
    <x v="1"/>
    <n v="99999"/>
    <s v="USA"/>
    <x v="1"/>
    <x v="1"/>
    <d v="2014-01-06T00:00:00"/>
    <s v="Shipping Company A"/>
    <s v="Christina Lee"/>
    <s v="123 4th Street"/>
    <x v="1"/>
    <s v="NY"/>
    <n v="99999"/>
    <s v="USA"/>
    <s v="Credit Card"/>
    <x v="3"/>
    <x v="1"/>
    <n v="53"/>
    <n v="89"/>
    <x v="3"/>
    <n v="448.11500000000001"/>
  </r>
  <r>
    <n v="1005"/>
    <x v="1"/>
    <x v="1"/>
    <x v="1"/>
    <s v="123 4th Street"/>
    <x v="1"/>
    <x v="1"/>
    <n v="99999"/>
    <s v="USA"/>
    <x v="1"/>
    <x v="1"/>
    <d v="2014-01-06T00:00:00"/>
    <s v="Shipping Company A"/>
    <s v="Christina Lee"/>
    <s v="123 4th Street"/>
    <x v="1"/>
    <s v="NY"/>
    <n v="99999"/>
    <s v="USA"/>
    <s v="Credit Card"/>
    <x v="1"/>
    <x v="1"/>
    <n v="3.5"/>
    <n v="11"/>
    <x v="4"/>
    <n v="3.7345000000000002"/>
  </r>
  <r>
    <n v="1006"/>
    <x v="2"/>
    <x v="2"/>
    <x v="2"/>
    <s v="123 12th Street"/>
    <x v="0"/>
    <x v="0"/>
    <n v="99999"/>
    <s v="USA"/>
    <x v="0"/>
    <x v="0"/>
    <d v="2014-01-14T00:00:00"/>
    <s v="Shipping Company B"/>
    <s v="John Edwards"/>
    <s v="123 12th Street"/>
    <x v="0"/>
    <s v="NV"/>
    <n v="99999"/>
    <s v="USA"/>
    <s v="Credit Card"/>
    <x v="4"/>
    <x v="0"/>
    <n v="18"/>
    <n v="81"/>
    <x v="5"/>
    <n v="141.42600000000002"/>
  </r>
  <r>
    <n v="1007"/>
    <x v="2"/>
    <x v="2"/>
    <x v="2"/>
    <s v="123 12th Street"/>
    <x v="0"/>
    <x v="0"/>
    <n v="99999"/>
    <s v="USA"/>
    <x v="0"/>
    <x v="0"/>
    <d v="2014-01-14T00:00:00"/>
    <s v="Shipping Company B"/>
    <s v="John Edwards"/>
    <s v="123 12th Street"/>
    <x v="0"/>
    <s v="NV"/>
    <n v="99999"/>
    <s v="USA"/>
    <s v="Credit Card"/>
    <x v="5"/>
    <x v="0"/>
    <n v="46"/>
    <n v="44"/>
    <x v="6"/>
    <n v="198.352"/>
  </r>
  <r>
    <n v="1008"/>
    <x v="3"/>
    <x v="3"/>
    <x v="3"/>
    <s v="123 8th Street"/>
    <x v="2"/>
    <x v="2"/>
    <n v="99999"/>
    <s v="USA"/>
    <x v="2"/>
    <x v="2"/>
    <d v="2014-01-10T00:00:00"/>
    <s v="Shipping Company C"/>
    <s v="Elizabeth Andersen"/>
    <s v="123 8th Street"/>
    <x v="2"/>
    <s v="OR"/>
    <n v="99999"/>
    <s v="USA"/>
    <s v="Credit Card"/>
    <x v="6"/>
    <x v="2"/>
    <n v="9.1999999999999993"/>
    <n v="38"/>
    <x v="7"/>
    <n v="36.008800000000001"/>
  </r>
  <r>
    <n v="1009"/>
    <x v="1"/>
    <x v="1"/>
    <x v="1"/>
    <s v="123 4th Street"/>
    <x v="1"/>
    <x v="1"/>
    <n v="99999"/>
    <s v="USA"/>
    <x v="1"/>
    <x v="1"/>
    <d v="2014-01-06T00:00:00"/>
    <s v="Shipping Company C"/>
    <s v="Christina Lee"/>
    <s v="123 4th Street"/>
    <x v="1"/>
    <s v="NY"/>
    <n v="99999"/>
    <s v="USA"/>
    <s v="Check"/>
    <x v="6"/>
    <x v="2"/>
    <n v="9.1999999999999993"/>
    <n v="88"/>
    <x v="8"/>
    <n v="79.340799999999987"/>
  </r>
  <r>
    <n v="1010"/>
    <x v="4"/>
    <x v="4"/>
    <x v="4"/>
    <s v="789 29th Street"/>
    <x v="3"/>
    <x v="3"/>
    <n v="99999"/>
    <s v="USA"/>
    <x v="3"/>
    <x v="0"/>
    <d v="2014-01-31T00:00:00"/>
    <s v="Shipping Company B"/>
    <s v="Soo Jung Lee"/>
    <s v="789 29th Street"/>
    <x v="3"/>
    <s v="CO"/>
    <n v="99999"/>
    <s v="USA"/>
    <s v="Check"/>
    <x v="7"/>
    <x v="3"/>
    <n v="12.75"/>
    <n v="94"/>
    <x v="9"/>
    <n v="122.24700000000001"/>
  </r>
  <r>
    <n v="1011"/>
    <x v="5"/>
    <x v="5"/>
    <x v="5"/>
    <s v="123 3rd Street"/>
    <x v="4"/>
    <x v="4"/>
    <n v="99999"/>
    <s v="USA"/>
    <x v="0"/>
    <x v="0"/>
    <d v="2014-01-05T00:00:00"/>
    <s v="Shipping Company B"/>
    <s v="Thomas Axerr"/>
    <s v="123 3rd Street"/>
    <x v="4"/>
    <s v="CA"/>
    <n v="99999"/>
    <s v="USA"/>
    <s v="Cash"/>
    <x v="8"/>
    <x v="4"/>
    <n v="9.65"/>
    <n v="91"/>
    <x v="10"/>
    <n v="92.205749999999995"/>
  </r>
  <r>
    <n v="1012"/>
    <x v="6"/>
    <x v="6"/>
    <x v="6"/>
    <s v="123 6th Street"/>
    <x v="5"/>
    <x v="5"/>
    <n v="99999"/>
    <s v="USA"/>
    <x v="4"/>
    <x v="2"/>
    <d v="2014-01-08T00:00:00"/>
    <s v="Shipping Company B"/>
    <s v="Francisco Pérez-Olaeta"/>
    <s v="123 6th Street"/>
    <x v="5"/>
    <s v="WI"/>
    <n v="99999"/>
    <s v="USA"/>
    <s v="Credit Card"/>
    <x v="9"/>
    <x v="5"/>
    <n v="40"/>
    <n v="32"/>
    <x v="11"/>
    <n v="133.12"/>
  </r>
  <r>
    <n v="1013"/>
    <x v="7"/>
    <x v="7"/>
    <x v="7"/>
    <s v="789 28th Street"/>
    <x v="6"/>
    <x v="6"/>
    <n v="99999"/>
    <s v="USA"/>
    <x v="5"/>
    <x v="3"/>
    <d v="2014-01-30T00:00:00"/>
    <s v="Shipping Company C"/>
    <s v="Amritansh Raghav"/>
    <s v="789 28th Street"/>
    <x v="6"/>
    <s v="TN"/>
    <n v="99999"/>
    <s v="USA"/>
    <s v="Check"/>
    <x v="5"/>
    <x v="0"/>
    <n v="46"/>
    <n v="55"/>
    <x v="12"/>
    <n v="253"/>
  </r>
  <r>
    <n v="1014"/>
    <x v="3"/>
    <x v="3"/>
    <x v="3"/>
    <s v="123 8th Street"/>
    <x v="2"/>
    <x v="2"/>
    <n v="99999"/>
    <s v="USA"/>
    <x v="2"/>
    <x v="2"/>
    <d v="2014-01-10T00:00:00"/>
    <s v="Shipping Company C"/>
    <s v="Elizabeth Andersen"/>
    <s v="123 8th Street"/>
    <x v="2"/>
    <s v="OR"/>
    <n v="99999"/>
    <s v="USA"/>
    <s v="Check"/>
    <x v="7"/>
    <x v="3"/>
    <n v="12.75"/>
    <n v="47"/>
    <x v="13"/>
    <n v="61.722750000000005"/>
  </r>
  <r>
    <n v="1015"/>
    <x v="8"/>
    <x v="8"/>
    <x v="8"/>
    <s v="123 10th Street"/>
    <x v="7"/>
    <x v="7"/>
    <n v="99999"/>
    <s v="USA"/>
    <x v="6"/>
    <x v="1"/>
    <d v="2014-01-12T00:00:00"/>
    <s v="Shipping Company B"/>
    <s v="Roland Wacker"/>
    <s v="123 10th Street"/>
    <x v="7"/>
    <s v="IL"/>
    <n v="99999"/>
    <s v="USA"/>
    <s v="Credit Card"/>
    <x v="10"/>
    <x v="0"/>
    <n v="2.99"/>
    <n v="90"/>
    <x v="14"/>
    <n v="27.717300000000005"/>
  </r>
  <r>
    <n v="1016"/>
    <x v="9"/>
    <x v="9"/>
    <x v="9"/>
    <s v="123 7th Street"/>
    <x v="8"/>
    <x v="8"/>
    <n v="99999"/>
    <s v="USA"/>
    <x v="2"/>
    <x v="2"/>
    <m/>
    <m/>
    <s v="Ming-Yang Xie"/>
    <s v="123 7th Street"/>
    <x v="8"/>
    <s v="ID"/>
    <n v="99999"/>
    <s v="USA"/>
    <m/>
    <x v="5"/>
    <x v="0"/>
    <n v="46"/>
    <n v="24"/>
    <x v="15"/>
    <n v="110.4"/>
  </r>
  <r>
    <n v="1017"/>
    <x v="8"/>
    <x v="8"/>
    <x v="8"/>
    <s v="123 10th Street"/>
    <x v="7"/>
    <x v="7"/>
    <n v="99999"/>
    <s v="USA"/>
    <x v="6"/>
    <x v="1"/>
    <d v="2014-01-12T00:00:00"/>
    <s v="Shipping Company A"/>
    <s v="Roland Wacker"/>
    <s v="123 10th Street"/>
    <x v="7"/>
    <s v="IL"/>
    <n v="99999"/>
    <s v="USA"/>
    <m/>
    <x v="11"/>
    <x v="6"/>
    <n v="25"/>
    <n v="34"/>
    <x v="16"/>
    <n v="80.75"/>
  </r>
  <r>
    <n v="1018"/>
    <x v="8"/>
    <x v="8"/>
    <x v="8"/>
    <s v="123 10th Street"/>
    <x v="7"/>
    <x v="7"/>
    <n v="99999"/>
    <s v="USA"/>
    <x v="6"/>
    <x v="1"/>
    <d v="2014-01-12T00:00:00"/>
    <s v="Shipping Company A"/>
    <s v="Roland Wacker"/>
    <s v="123 10th Street"/>
    <x v="7"/>
    <s v="IL"/>
    <n v="99999"/>
    <s v="USA"/>
    <m/>
    <x v="12"/>
    <x v="7"/>
    <n v="22"/>
    <n v="17"/>
    <x v="17"/>
    <n v="35.903999999999996"/>
  </r>
  <r>
    <n v="1019"/>
    <x v="8"/>
    <x v="8"/>
    <x v="8"/>
    <s v="123 10th Street"/>
    <x v="7"/>
    <x v="7"/>
    <n v="99999"/>
    <s v="USA"/>
    <x v="6"/>
    <x v="1"/>
    <d v="2014-01-12T00:00:00"/>
    <s v="Shipping Company A"/>
    <s v="Roland Wacker"/>
    <s v="123 10th Street"/>
    <x v="7"/>
    <s v="IL"/>
    <n v="99999"/>
    <s v="USA"/>
    <m/>
    <x v="6"/>
    <x v="2"/>
    <n v="9.1999999999999993"/>
    <n v="44"/>
    <x v="18"/>
    <n v="42.099199999999996"/>
  </r>
  <r>
    <n v="1020"/>
    <x v="10"/>
    <x v="10"/>
    <x v="10"/>
    <s v="123 11th Street"/>
    <x v="9"/>
    <x v="9"/>
    <n v="99999"/>
    <s v="USA"/>
    <x v="5"/>
    <x v="3"/>
    <m/>
    <s v="Shipping Company C"/>
    <s v="Peter Krschne"/>
    <s v="123 11th Street"/>
    <x v="9"/>
    <s v="FL"/>
    <n v="99999"/>
    <s v="USA"/>
    <m/>
    <x v="1"/>
    <x v="1"/>
    <n v="3.5"/>
    <n v="81"/>
    <x v="19"/>
    <n v="27.499500000000001"/>
  </r>
  <r>
    <n v="1021"/>
    <x v="10"/>
    <x v="10"/>
    <x v="10"/>
    <s v="123 11th Street"/>
    <x v="9"/>
    <x v="9"/>
    <n v="99999"/>
    <s v="USA"/>
    <x v="5"/>
    <x v="3"/>
    <m/>
    <s v="Shipping Company C"/>
    <s v="Peter Krschne"/>
    <s v="123 11th Street"/>
    <x v="9"/>
    <s v="FL"/>
    <n v="99999"/>
    <s v="USA"/>
    <m/>
    <x v="10"/>
    <x v="0"/>
    <n v="2.99"/>
    <n v="49"/>
    <x v="20"/>
    <n v="15.090530000000005"/>
  </r>
  <r>
    <n v="1022"/>
    <x v="11"/>
    <x v="11"/>
    <x v="11"/>
    <s v="123 1st Street"/>
    <x v="10"/>
    <x v="10"/>
    <n v="99999"/>
    <s v="USA"/>
    <x v="2"/>
    <x v="2"/>
    <m/>
    <m/>
    <s v="Anna Bedecs"/>
    <s v="123 1st Street"/>
    <x v="10"/>
    <s v="WA"/>
    <n v="99999"/>
    <s v="USA"/>
    <m/>
    <x v="4"/>
    <x v="0"/>
    <n v="18"/>
    <n v="42"/>
    <x v="21"/>
    <n v="75.600000000000009"/>
  </r>
  <r>
    <n v="1023"/>
    <x v="11"/>
    <x v="11"/>
    <x v="11"/>
    <s v="123 1st Street"/>
    <x v="10"/>
    <x v="10"/>
    <n v="99999"/>
    <s v="USA"/>
    <x v="2"/>
    <x v="2"/>
    <m/>
    <m/>
    <s v="Anna Bedecs"/>
    <s v="123 1st Street"/>
    <x v="10"/>
    <s v="WA"/>
    <n v="99999"/>
    <s v="USA"/>
    <m/>
    <x v="5"/>
    <x v="0"/>
    <n v="46"/>
    <n v="58"/>
    <x v="22"/>
    <n v="269.46800000000002"/>
  </r>
  <r>
    <n v="1024"/>
    <x v="11"/>
    <x v="11"/>
    <x v="11"/>
    <s v="123 1st Street"/>
    <x v="10"/>
    <x v="10"/>
    <n v="99999"/>
    <s v="USA"/>
    <x v="2"/>
    <x v="2"/>
    <m/>
    <m/>
    <s v="Anna Bedecs"/>
    <s v="123 1st Street"/>
    <x v="10"/>
    <s v="WA"/>
    <n v="99999"/>
    <s v="USA"/>
    <m/>
    <x v="10"/>
    <x v="0"/>
    <n v="2.99"/>
    <n v="67"/>
    <x v="23"/>
    <n v="20.033000000000001"/>
  </r>
  <r>
    <n v="1025"/>
    <x v="7"/>
    <x v="7"/>
    <x v="7"/>
    <s v="789 28th Street"/>
    <x v="6"/>
    <x v="6"/>
    <n v="99999"/>
    <s v="USA"/>
    <x v="5"/>
    <x v="3"/>
    <d v="2014-01-30T00:00:00"/>
    <s v="Shipping Company C"/>
    <s v="Amritansh Raghav"/>
    <s v="789 28th Street"/>
    <x v="6"/>
    <s v="TN"/>
    <n v="99999"/>
    <s v="USA"/>
    <s v="Credit Card"/>
    <x v="8"/>
    <x v="4"/>
    <n v="9.65"/>
    <n v="100"/>
    <x v="24"/>
    <n v="93.605000000000004"/>
  </r>
  <r>
    <n v="1026"/>
    <x v="7"/>
    <x v="7"/>
    <x v="7"/>
    <s v="789 28th Street"/>
    <x v="6"/>
    <x v="6"/>
    <n v="99999"/>
    <s v="USA"/>
    <x v="5"/>
    <x v="3"/>
    <d v="2014-01-30T00:00:00"/>
    <s v="Shipping Company C"/>
    <s v="Amritansh Raghav"/>
    <s v="789 28th Street"/>
    <x v="6"/>
    <s v="TN"/>
    <n v="99999"/>
    <s v="USA"/>
    <s v="Credit Card"/>
    <x v="13"/>
    <x v="8"/>
    <n v="18.399999999999999"/>
    <n v="63"/>
    <x v="25"/>
    <n v="114.76079999999999"/>
  </r>
  <r>
    <n v="1027"/>
    <x v="12"/>
    <x v="12"/>
    <x v="12"/>
    <s v="123 9th Street"/>
    <x v="11"/>
    <x v="11"/>
    <n v="99999"/>
    <s v="USA"/>
    <x v="7"/>
    <x v="0"/>
    <d v="2014-01-11T00:00:00"/>
    <s v="Shipping Company A"/>
    <s v="Sven Mortensen"/>
    <s v="123 9th Street"/>
    <x v="11"/>
    <s v="UT"/>
    <n v="99999"/>
    <s v="USA"/>
    <s v="Check"/>
    <x v="14"/>
    <x v="9"/>
    <n v="19.5"/>
    <n v="57"/>
    <x v="26"/>
    <n v="110.0385"/>
  </r>
  <r>
    <n v="1028"/>
    <x v="12"/>
    <x v="12"/>
    <x v="12"/>
    <s v="123 9th Street"/>
    <x v="11"/>
    <x v="11"/>
    <n v="99999"/>
    <s v="USA"/>
    <x v="7"/>
    <x v="0"/>
    <d v="2014-01-11T00:00:00"/>
    <s v="Shipping Company A"/>
    <s v="Sven Mortensen"/>
    <s v="123 9th Street"/>
    <x v="11"/>
    <s v="UT"/>
    <n v="99999"/>
    <s v="USA"/>
    <s v="Check"/>
    <x v="15"/>
    <x v="10"/>
    <n v="34.799999999999997"/>
    <n v="81"/>
    <x v="27"/>
    <n v="295.97399999999999"/>
  </r>
  <r>
    <n v="1029"/>
    <x v="6"/>
    <x v="6"/>
    <x v="6"/>
    <s v="123 6th Street"/>
    <x v="5"/>
    <x v="5"/>
    <n v="99999"/>
    <s v="USA"/>
    <x v="4"/>
    <x v="2"/>
    <d v="2014-01-08T00:00:00"/>
    <s v="Shipping Company B"/>
    <s v="Francisco Pérez-Olaeta"/>
    <s v="123 6th Street"/>
    <x v="5"/>
    <s v="WI"/>
    <n v="99999"/>
    <s v="USA"/>
    <s v="Credit Card"/>
    <x v="0"/>
    <x v="0"/>
    <n v="14"/>
    <n v="71"/>
    <x v="28"/>
    <n v="95.424000000000007"/>
  </r>
  <r>
    <n v="1030"/>
    <x v="13"/>
    <x v="3"/>
    <x v="3"/>
    <s v="123 8th Street"/>
    <x v="2"/>
    <x v="2"/>
    <n v="99999"/>
    <s v="USA"/>
    <x v="2"/>
    <x v="2"/>
    <d v="2014-02-10T00:00:00"/>
    <s v="Shipping Company B"/>
    <s v="Elizabeth Andersen"/>
    <s v="123 8th Street"/>
    <x v="2"/>
    <s v="OR"/>
    <n v="99999"/>
    <s v="USA"/>
    <s v="Check"/>
    <x v="9"/>
    <x v="5"/>
    <n v="40"/>
    <n v="32"/>
    <x v="11"/>
    <n v="129.28"/>
  </r>
  <r>
    <n v="1031"/>
    <x v="14"/>
    <x v="5"/>
    <x v="5"/>
    <s v="123 3rd Street"/>
    <x v="4"/>
    <x v="4"/>
    <n v="99999"/>
    <s v="USA"/>
    <x v="0"/>
    <x v="0"/>
    <d v="2014-02-05T00:00:00"/>
    <s v="Shipping Company B"/>
    <s v="Thomas Axerr"/>
    <s v="123 3rd Street"/>
    <x v="4"/>
    <s v="CA"/>
    <n v="99999"/>
    <s v="USA"/>
    <s v="Cash"/>
    <x v="16"/>
    <x v="7"/>
    <n v="10"/>
    <n v="63"/>
    <x v="29"/>
    <n v="65.52"/>
  </r>
  <r>
    <n v="1032"/>
    <x v="14"/>
    <x v="5"/>
    <x v="5"/>
    <s v="123 3rd Street"/>
    <x v="4"/>
    <x v="4"/>
    <n v="99999"/>
    <s v="USA"/>
    <x v="0"/>
    <x v="0"/>
    <d v="2014-02-05T00:00:00"/>
    <s v="Shipping Company B"/>
    <s v="Thomas Axerr"/>
    <s v="123 3rd Street"/>
    <x v="4"/>
    <s v="CA"/>
    <n v="99999"/>
    <s v="USA"/>
    <s v="Cash"/>
    <x v="9"/>
    <x v="5"/>
    <n v="40"/>
    <n v="30"/>
    <x v="30"/>
    <n v="120"/>
  </r>
  <r>
    <n v="1033"/>
    <x v="15"/>
    <x v="6"/>
    <x v="6"/>
    <s v="123 6th Street"/>
    <x v="5"/>
    <x v="5"/>
    <n v="99999"/>
    <s v="USA"/>
    <x v="4"/>
    <x v="2"/>
    <d v="2014-02-08T00:00:00"/>
    <s v="Shipping Company B"/>
    <s v="Francisco Pérez-Olaeta"/>
    <s v="123 6th Street"/>
    <x v="5"/>
    <s v="WI"/>
    <n v="99999"/>
    <s v="USA"/>
    <s v="Credit Card"/>
    <x v="17"/>
    <x v="11"/>
    <m/>
    <m/>
    <x v="31"/>
    <n v="43"/>
  </r>
  <r>
    <n v="1034"/>
    <x v="16"/>
    <x v="7"/>
    <x v="7"/>
    <s v="789 28th Street"/>
    <x v="6"/>
    <x v="6"/>
    <n v="99999"/>
    <s v="USA"/>
    <x v="5"/>
    <x v="3"/>
    <d v="2014-03-02T00:00:00"/>
    <s v="Shipping Company C"/>
    <s v="Amritansh Raghav"/>
    <s v="789 28th Street"/>
    <x v="6"/>
    <s v="TN"/>
    <n v="99999"/>
    <s v="USA"/>
    <s v="Check"/>
    <x v="17"/>
    <x v="11"/>
    <m/>
    <m/>
    <x v="31"/>
    <n v="31"/>
  </r>
  <r>
    <n v="1035"/>
    <x v="13"/>
    <x v="3"/>
    <x v="3"/>
    <s v="123 8th Street"/>
    <x v="2"/>
    <x v="2"/>
    <n v="99999"/>
    <s v="USA"/>
    <x v="2"/>
    <x v="2"/>
    <d v="2014-02-10T00:00:00"/>
    <s v="Shipping Company C"/>
    <s v="Elizabeth Andersen"/>
    <s v="123 8th Street"/>
    <x v="2"/>
    <s v="OR"/>
    <n v="99999"/>
    <s v="USA"/>
    <s v="Check"/>
    <x v="17"/>
    <x v="11"/>
    <m/>
    <m/>
    <x v="31"/>
    <n v="46"/>
  </r>
  <r>
    <n v="1036"/>
    <x v="17"/>
    <x v="8"/>
    <x v="8"/>
    <s v="123 10th Street"/>
    <x v="7"/>
    <x v="7"/>
    <n v="99999"/>
    <s v="USA"/>
    <x v="6"/>
    <x v="1"/>
    <d v="2014-02-12T00:00:00"/>
    <s v="Shipping Company B"/>
    <s v="Roland Wacker"/>
    <s v="123 10th Street"/>
    <x v="7"/>
    <s v="IL"/>
    <n v="99999"/>
    <s v="USA"/>
    <s v="Credit Card"/>
    <x v="18"/>
    <x v="1"/>
    <n v="10"/>
    <n v="47"/>
    <x v="32"/>
    <n v="48.88"/>
  </r>
  <r>
    <n v="1038"/>
    <x v="17"/>
    <x v="8"/>
    <x v="8"/>
    <s v="123 10th Street"/>
    <x v="7"/>
    <x v="7"/>
    <n v="99999"/>
    <s v="USA"/>
    <x v="6"/>
    <x v="1"/>
    <m/>
    <s v="Shipping Company A"/>
    <s v="Roland Wacker"/>
    <s v="123 10th Street"/>
    <x v="7"/>
    <s v="IL"/>
    <n v="99999"/>
    <s v="USA"/>
    <m/>
    <x v="1"/>
    <x v="1"/>
    <n v="3.5"/>
    <n v="49"/>
    <x v="33"/>
    <n v="16.464000000000002"/>
  </r>
  <r>
    <n v="1039"/>
    <x v="18"/>
    <x v="10"/>
    <x v="10"/>
    <s v="123 11th Street"/>
    <x v="9"/>
    <x v="9"/>
    <n v="99999"/>
    <s v="USA"/>
    <x v="5"/>
    <x v="3"/>
    <m/>
    <s v="Shipping Company C"/>
    <s v="Peter Krschne"/>
    <s v="123 11th Street"/>
    <x v="9"/>
    <s v="FL"/>
    <n v="99999"/>
    <s v="USA"/>
    <m/>
    <x v="9"/>
    <x v="5"/>
    <n v="40"/>
    <n v="72"/>
    <x v="34"/>
    <n v="285.12"/>
  </r>
  <r>
    <n v="1040"/>
    <x v="19"/>
    <x v="11"/>
    <x v="11"/>
    <s v="123 1st Street"/>
    <x v="10"/>
    <x v="10"/>
    <n v="99999"/>
    <s v="USA"/>
    <x v="2"/>
    <x v="2"/>
    <m/>
    <s v="Shipping Company C"/>
    <s v="Anna Bedecs"/>
    <s v="123 1st Street"/>
    <x v="10"/>
    <s v="WA"/>
    <n v="99999"/>
    <s v="USA"/>
    <m/>
    <x v="13"/>
    <x v="8"/>
    <n v="18.399999999999999"/>
    <n v="13"/>
    <x v="35"/>
    <n v="23.680800000000001"/>
  </r>
  <r>
    <n v="1041"/>
    <x v="16"/>
    <x v="7"/>
    <x v="7"/>
    <s v="789 28th Street"/>
    <x v="6"/>
    <x v="6"/>
    <n v="99999"/>
    <s v="USA"/>
    <x v="5"/>
    <x v="3"/>
    <n v="41700"/>
    <s v="Shipping Company C"/>
    <s v="Amritansh Raghav"/>
    <s v="789 28th Street"/>
    <x v="6"/>
    <s v="TN"/>
    <n v="99999"/>
    <s v="USA"/>
    <s v="Credit Card"/>
    <x v="5"/>
    <x v="0"/>
    <n v="46"/>
    <n v="32"/>
    <x v="36"/>
    <n v="148.67200000000003"/>
  </r>
  <r>
    <n v="1042"/>
    <x v="20"/>
    <x v="12"/>
    <x v="12"/>
    <s v="123 9th Street"/>
    <x v="11"/>
    <x v="11"/>
    <n v="99999"/>
    <s v="USA"/>
    <x v="7"/>
    <x v="0"/>
    <d v="2014-02-11T00:00:00"/>
    <s v="Shipping Company A"/>
    <s v="Sven Mortensen"/>
    <s v="123 9th Street"/>
    <x v="11"/>
    <s v="UT"/>
    <n v="99999"/>
    <s v="USA"/>
    <s v="Check"/>
    <x v="8"/>
    <x v="4"/>
    <n v="9.65"/>
    <n v="27"/>
    <x v="37"/>
    <n v="24.752250000000004"/>
  </r>
  <r>
    <n v="1043"/>
    <x v="15"/>
    <x v="6"/>
    <x v="6"/>
    <s v="123 6th Street"/>
    <x v="5"/>
    <x v="5"/>
    <n v="99999"/>
    <s v="USA"/>
    <x v="4"/>
    <x v="2"/>
    <d v="2014-02-08T00:00:00"/>
    <s v="Shipping Company B"/>
    <s v="Francisco Pérez-Olaeta"/>
    <s v="123 6th Street"/>
    <x v="5"/>
    <s v="WI"/>
    <n v="99999"/>
    <s v="USA"/>
    <s v="Credit Card"/>
    <x v="7"/>
    <x v="3"/>
    <n v="12.75"/>
    <n v="71"/>
    <x v="38"/>
    <n v="91.430250000000001"/>
  </r>
  <r>
    <n v="1044"/>
    <x v="13"/>
    <x v="3"/>
    <x v="3"/>
    <s v="123 8th Street"/>
    <x v="2"/>
    <x v="2"/>
    <n v="99999"/>
    <s v="USA"/>
    <x v="2"/>
    <x v="2"/>
    <d v="2014-02-10T00:00:00"/>
    <s v="Shipping Company B"/>
    <s v="Elizabeth Andersen"/>
    <s v="123 8th Street"/>
    <x v="2"/>
    <s v="OR"/>
    <n v="99999"/>
    <s v="USA"/>
    <s v="Check"/>
    <x v="7"/>
    <x v="3"/>
    <n v="12.75"/>
    <n v="13"/>
    <x v="39"/>
    <n v="15.746249999999998"/>
  </r>
  <r>
    <n v="1045"/>
    <x v="21"/>
    <x v="13"/>
    <x v="13"/>
    <s v="789 25th Street"/>
    <x v="7"/>
    <x v="7"/>
    <n v="99999"/>
    <s v="USA"/>
    <x v="6"/>
    <x v="1"/>
    <d v="2014-02-27T00:00:00"/>
    <s v="Shipping Company A"/>
    <s v="John Rodman"/>
    <s v="789 25th Street"/>
    <x v="7"/>
    <s v="IL"/>
    <n v="99999"/>
    <s v="USA"/>
    <s v="Cash"/>
    <x v="12"/>
    <x v="7"/>
    <n v="22"/>
    <n v="98"/>
    <x v="40"/>
    <n v="204.82000000000002"/>
  </r>
  <r>
    <n v="1046"/>
    <x v="22"/>
    <x v="14"/>
    <x v="14"/>
    <s v="789 26th Street"/>
    <x v="9"/>
    <x v="9"/>
    <n v="99999"/>
    <s v="USA"/>
    <x v="5"/>
    <x v="3"/>
    <d v="2014-02-28T00:00:00"/>
    <s v="Shipping Company C"/>
    <s v="Run Liu"/>
    <s v="789 26th Street"/>
    <x v="9"/>
    <s v="FL"/>
    <n v="99999"/>
    <s v="USA"/>
    <s v="Credit Card"/>
    <x v="11"/>
    <x v="6"/>
    <n v="25"/>
    <n v="21"/>
    <x v="41"/>
    <n v="53.550000000000004"/>
  </r>
  <r>
    <n v="1047"/>
    <x v="23"/>
    <x v="4"/>
    <x v="4"/>
    <s v="789 29th Street"/>
    <x v="3"/>
    <x v="3"/>
    <n v="99999"/>
    <s v="USA"/>
    <x v="3"/>
    <x v="0"/>
    <d v="2014-03-03T00:00:00"/>
    <s v="Shipping Company B"/>
    <s v="Soo Jung Lee"/>
    <s v="789 29th Street"/>
    <x v="3"/>
    <s v="CO"/>
    <n v="99999"/>
    <s v="USA"/>
    <s v="Check"/>
    <x v="19"/>
    <x v="12"/>
    <n v="39"/>
    <n v="26"/>
    <x v="42"/>
    <n v="106.47000000000001"/>
  </r>
  <r>
    <n v="1048"/>
    <x v="15"/>
    <x v="6"/>
    <x v="6"/>
    <s v="123 6th Street"/>
    <x v="5"/>
    <x v="5"/>
    <n v="99999"/>
    <s v="USA"/>
    <x v="4"/>
    <x v="2"/>
    <d v="2014-02-08T00:00:00"/>
    <s v="Shipping Company C"/>
    <s v="Francisco Pérez-Olaeta"/>
    <s v="123 6th Street"/>
    <x v="5"/>
    <s v="WI"/>
    <n v="99999"/>
    <s v="USA"/>
    <s v="Check"/>
    <x v="2"/>
    <x v="1"/>
    <n v="30"/>
    <n v="96"/>
    <x v="34"/>
    <n v="296.64"/>
  </r>
  <r>
    <n v="1049"/>
    <x v="15"/>
    <x v="6"/>
    <x v="6"/>
    <s v="123 6th Street"/>
    <x v="5"/>
    <x v="5"/>
    <n v="99999"/>
    <s v="USA"/>
    <x v="4"/>
    <x v="2"/>
    <d v="2014-02-08T00:00:00"/>
    <s v="Shipping Company C"/>
    <s v="Francisco Pérez-Olaeta"/>
    <s v="123 6th Street"/>
    <x v="5"/>
    <s v="WI"/>
    <n v="99999"/>
    <s v="USA"/>
    <s v="Check"/>
    <x v="3"/>
    <x v="1"/>
    <n v="53"/>
    <n v="16"/>
    <x v="43"/>
    <n v="88.192000000000021"/>
  </r>
  <r>
    <n v="1050"/>
    <x v="24"/>
    <x v="1"/>
    <x v="1"/>
    <s v="123 4th Street"/>
    <x v="1"/>
    <x v="1"/>
    <n v="99999"/>
    <s v="USA"/>
    <x v="1"/>
    <x v="1"/>
    <m/>
    <m/>
    <s v="Christina Lee"/>
    <s v="123 4th Street"/>
    <x v="1"/>
    <s v="NY"/>
    <n v="99999"/>
    <s v="USA"/>
    <m/>
    <x v="20"/>
    <x v="9"/>
    <n v="38"/>
    <n v="96"/>
    <x v="44"/>
    <n v="346.56"/>
  </r>
  <r>
    <n v="1051"/>
    <x v="14"/>
    <x v="5"/>
    <x v="5"/>
    <s v="123 3rd Street"/>
    <x v="4"/>
    <x v="4"/>
    <n v="99999"/>
    <s v="USA"/>
    <x v="0"/>
    <x v="0"/>
    <m/>
    <m/>
    <s v="Thomas Axerr"/>
    <s v="123 3rd Street"/>
    <x v="4"/>
    <s v="CA"/>
    <n v="99999"/>
    <s v="USA"/>
    <m/>
    <x v="10"/>
    <x v="0"/>
    <n v="2.99"/>
    <n v="75"/>
    <x v="45"/>
    <n v="23.097750000000005"/>
  </r>
  <r>
    <n v="1052"/>
    <x v="25"/>
    <x v="12"/>
    <x v="12"/>
    <s v="123 9th Street"/>
    <x v="11"/>
    <x v="11"/>
    <n v="99999"/>
    <s v="USA"/>
    <x v="7"/>
    <x v="0"/>
    <n v="41709"/>
    <s v="Shipping Company A"/>
    <s v="Sven Mortensen"/>
    <s v="123 9th Street"/>
    <x v="11"/>
    <s v="UT"/>
    <n v="99999"/>
    <s v="USA"/>
    <s v="Check"/>
    <x v="14"/>
    <x v="9"/>
    <n v="19.5"/>
    <n v="55"/>
    <x v="46"/>
    <n v="108.32250000000001"/>
  </r>
  <r>
    <n v="1053"/>
    <x v="25"/>
    <x v="12"/>
    <x v="12"/>
    <s v="123 9th Street"/>
    <x v="11"/>
    <x v="11"/>
    <n v="99999"/>
    <s v="USA"/>
    <x v="7"/>
    <x v="0"/>
    <d v="2014-03-11T00:00:00"/>
    <s v="Shipping Company A"/>
    <s v="Sven Mortensen"/>
    <s v="123 9th Street"/>
    <x v="11"/>
    <s v="UT"/>
    <n v="99999"/>
    <s v="USA"/>
    <s v="Check"/>
    <x v="15"/>
    <x v="10"/>
    <n v="34.799999999999997"/>
    <n v="11"/>
    <x v="47"/>
    <n v="36.748799999999996"/>
  </r>
  <r>
    <n v="1054"/>
    <x v="26"/>
    <x v="6"/>
    <x v="6"/>
    <s v="123 6th Street"/>
    <x v="5"/>
    <x v="5"/>
    <n v="99999"/>
    <s v="USA"/>
    <x v="4"/>
    <x v="2"/>
    <d v="2014-03-08T00:00:00"/>
    <s v="Shipping Company B"/>
    <s v="Francisco Pérez-Olaeta"/>
    <s v="123 6th Street"/>
    <x v="5"/>
    <s v="WI"/>
    <n v="99999"/>
    <s v="USA"/>
    <s v="Credit Card"/>
    <x v="0"/>
    <x v="0"/>
    <n v="14"/>
    <n v="53"/>
    <x v="48"/>
    <n v="71.974000000000004"/>
  </r>
  <r>
    <n v="1055"/>
    <x v="27"/>
    <x v="3"/>
    <x v="3"/>
    <s v="123 8th Street"/>
    <x v="2"/>
    <x v="2"/>
    <n v="99999"/>
    <s v="USA"/>
    <x v="2"/>
    <x v="2"/>
    <d v="2014-03-10T00:00:00"/>
    <s v="Shipping Company B"/>
    <s v="Elizabeth Andersen"/>
    <s v="123 8th Street"/>
    <x v="2"/>
    <s v="OR"/>
    <n v="99999"/>
    <s v="USA"/>
    <s v="Check"/>
    <x v="9"/>
    <x v="5"/>
    <n v="40"/>
    <n v="85"/>
    <x v="49"/>
    <n v="357"/>
  </r>
  <r>
    <n v="1056"/>
    <x v="27"/>
    <x v="3"/>
    <x v="3"/>
    <s v="123 8th Street"/>
    <x v="2"/>
    <x v="2"/>
    <n v="99999"/>
    <s v="USA"/>
    <x v="2"/>
    <x v="2"/>
    <d v="2014-03-10T00:00:00"/>
    <s v="Shipping Company B"/>
    <s v="Elizabeth Andersen"/>
    <s v="123 8th Street"/>
    <x v="2"/>
    <s v="OR"/>
    <n v="99999"/>
    <s v="USA"/>
    <s v="Check"/>
    <x v="6"/>
    <x v="2"/>
    <n v="9.1999999999999993"/>
    <n v="97"/>
    <x v="50"/>
    <n v="91.024800000000013"/>
  </r>
  <r>
    <n v="1057"/>
    <x v="28"/>
    <x v="13"/>
    <x v="13"/>
    <s v="789 25th Street"/>
    <x v="7"/>
    <x v="7"/>
    <n v="99999"/>
    <s v="USA"/>
    <x v="6"/>
    <x v="1"/>
    <d v="2014-03-27T00:00:00"/>
    <s v="Shipping Company A"/>
    <s v="John Rodman"/>
    <s v="789 25th Street"/>
    <x v="7"/>
    <s v="IL"/>
    <n v="99999"/>
    <s v="USA"/>
    <s v="Cash"/>
    <x v="21"/>
    <x v="2"/>
    <n v="10"/>
    <n v="46"/>
    <x v="51"/>
    <n v="46.46"/>
  </r>
  <r>
    <n v="1058"/>
    <x v="29"/>
    <x v="14"/>
    <x v="14"/>
    <s v="789 26th Street"/>
    <x v="9"/>
    <x v="9"/>
    <n v="99999"/>
    <s v="USA"/>
    <x v="5"/>
    <x v="3"/>
    <d v="2014-03-28T00:00:00"/>
    <s v="Shipping Company C"/>
    <s v="Run Liu"/>
    <s v="789 26th Street"/>
    <x v="9"/>
    <s v="FL"/>
    <n v="99999"/>
    <s v="USA"/>
    <s v="Credit Card"/>
    <x v="22"/>
    <x v="13"/>
    <n v="21.35"/>
    <n v="97"/>
    <x v="52"/>
    <n v="196.74025"/>
  </r>
  <r>
    <n v="1059"/>
    <x v="29"/>
    <x v="14"/>
    <x v="14"/>
    <s v="789 26th Street"/>
    <x v="9"/>
    <x v="9"/>
    <n v="99999"/>
    <s v="USA"/>
    <x v="5"/>
    <x v="3"/>
    <d v="2014-03-28T00:00:00"/>
    <s v="Shipping Company C"/>
    <s v="Run Liu"/>
    <s v="789 26th Street"/>
    <x v="9"/>
    <s v="FL"/>
    <n v="99999"/>
    <s v="USA"/>
    <s v="Credit Card"/>
    <x v="8"/>
    <x v="4"/>
    <n v="9.65"/>
    <n v="97"/>
    <x v="53"/>
    <n v="95.477100000000021"/>
  </r>
  <r>
    <n v="1060"/>
    <x v="29"/>
    <x v="14"/>
    <x v="14"/>
    <s v="789 26th Street"/>
    <x v="9"/>
    <x v="9"/>
    <n v="99999"/>
    <s v="USA"/>
    <x v="5"/>
    <x v="3"/>
    <d v="2014-03-28T00:00:00"/>
    <s v="Shipping Company C"/>
    <s v="Run Liu"/>
    <s v="789 26th Street"/>
    <x v="9"/>
    <s v="FL"/>
    <n v="99999"/>
    <s v="USA"/>
    <s v="Credit Card"/>
    <x v="13"/>
    <x v="8"/>
    <n v="18.399999999999999"/>
    <n v="65"/>
    <x v="54"/>
    <n v="123.18800000000002"/>
  </r>
  <r>
    <n v="1061"/>
    <x v="30"/>
    <x v="4"/>
    <x v="4"/>
    <s v="789 29th Street"/>
    <x v="3"/>
    <x v="3"/>
    <n v="99999"/>
    <s v="USA"/>
    <x v="3"/>
    <x v="0"/>
    <d v="2014-03-31T00:00:00"/>
    <s v="Shipping Company B"/>
    <s v="Soo Jung Lee"/>
    <s v="789 29th Street"/>
    <x v="3"/>
    <s v="CO"/>
    <n v="99999"/>
    <s v="USA"/>
    <s v="Check"/>
    <x v="0"/>
    <x v="0"/>
    <n v="14"/>
    <n v="72"/>
    <x v="55"/>
    <n v="100.80000000000001"/>
  </r>
  <r>
    <n v="1062"/>
    <x v="26"/>
    <x v="6"/>
    <x v="6"/>
    <s v="123 6th Street"/>
    <x v="5"/>
    <x v="5"/>
    <n v="99999"/>
    <s v="USA"/>
    <x v="4"/>
    <x v="2"/>
    <d v="2014-03-08T00:00:00"/>
    <s v="Shipping Company C"/>
    <s v="Francisco Pérez-Olaeta"/>
    <s v="123 6th Street"/>
    <x v="5"/>
    <s v="WI"/>
    <n v="99999"/>
    <s v="USA"/>
    <s v="Check"/>
    <x v="7"/>
    <x v="3"/>
    <n v="12.75"/>
    <n v="16"/>
    <x v="56"/>
    <n v="20.196000000000002"/>
  </r>
  <r>
    <n v="1064"/>
    <x v="31"/>
    <x v="1"/>
    <x v="1"/>
    <s v="123 4th Street"/>
    <x v="1"/>
    <x v="1"/>
    <n v="99999"/>
    <s v="USA"/>
    <x v="1"/>
    <x v="1"/>
    <d v="2014-03-06T00:00:00"/>
    <s v="Shipping Company A"/>
    <s v="Christina Lee"/>
    <s v="123 4th Street"/>
    <x v="1"/>
    <s v="NY"/>
    <n v="99999"/>
    <s v="USA"/>
    <s v="Credit Card"/>
    <x v="23"/>
    <x v="6"/>
    <n v="81"/>
    <n v="77"/>
    <x v="57"/>
    <n v="642.41100000000006"/>
  </r>
  <r>
    <n v="1065"/>
    <x v="31"/>
    <x v="1"/>
    <x v="1"/>
    <s v="123 4th Street"/>
    <x v="1"/>
    <x v="1"/>
    <n v="99999"/>
    <s v="USA"/>
    <x v="1"/>
    <x v="1"/>
    <d v="2014-03-06T00:00:00"/>
    <s v="Shipping Company A"/>
    <s v="Christina Lee"/>
    <s v="123 4th Street"/>
    <x v="1"/>
    <s v="NY"/>
    <n v="99999"/>
    <s v="USA"/>
    <s v="Credit Card"/>
    <x v="24"/>
    <x v="14"/>
    <n v="7"/>
    <n v="37"/>
    <x v="58"/>
    <n v="24.605"/>
  </r>
  <r>
    <n v="1067"/>
    <x v="27"/>
    <x v="3"/>
    <x v="3"/>
    <s v="123 8th Street"/>
    <x v="2"/>
    <x v="2"/>
    <n v="99999"/>
    <s v="USA"/>
    <x v="2"/>
    <x v="2"/>
    <d v="2014-03-10T00:00:00"/>
    <s v="Shipping Company C"/>
    <s v="Elizabeth Andersen"/>
    <s v="123 8th Street"/>
    <x v="2"/>
    <s v="OR"/>
    <n v="99999"/>
    <s v="USA"/>
    <s v="Credit Card"/>
    <x v="15"/>
    <x v="10"/>
    <n v="34.799999999999997"/>
    <n v="63"/>
    <x v="59"/>
    <n v="217.04759999999999"/>
  </r>
  <r>
    <n v="1070"/>
    <x v="32"/>
    <x v="5"/>
    <x v="5"/>
    <s v="123 3rd Street"/>
    <x v="4"/>
    <x v="4"/>
    <n v="99999"/>
    <s v="USA"/>
    <x v="0"/>
    <x v="0"/>
    <d v="2014-03-05T00:00:00"/>
    <s v="Shipping Company B"/>
    <s v="Thomas Axerr"/>
    <s v="123 3rd Street"/>
    <x v="4"/>
    <s v="CA"/>
    <n v="99999"/>
    <s v="USA"/>
    <s v="Cash"/>
    <x v="16"/>
    <x v="7"/>
    <n v="10"/>
    <n v="48"/>
    <x v="60"/>
    <n v="48"/>
  </r>
  <r>
    <n v="1071"/>
    <x v="32"/>
    <x v="5"/>
    <x v="5"/>
    <s v="123 3rd Street"/>
    <x v="4"/>
    <x v="4"/>
    <n v="99999"/>
    <s v="USA"/>
    <x v="0"/>
    <x v="0"/>
    <d v="2014-03-05T00:00:00"/>
    <s v="Shipping Company B"/>
    <s v="Thomas Axerr"/>
    <s v="123 3rd Street"/>
    <x v="4"/>
    <s v="CA"/>
    <n v="99999"/>
    <s v="USA"/>
    <s v="Cash"/>
    <x v="9"/>
    <x v="5"/>
    <n v="40"/>
    <n v="71"/>
    <x v="61"/>
    <n v="295.36"/>
  </r>
  <r>
    <n v="1075"/>
    <x v="33"/>
    <x v="8"/>
    <x v="8"/>
    <s v="123 10th Street"/>
    <x v="7"/>
    <x v="7"/>
    <n v="99999"/>
    <s v="USA"/>
    <x v="6"/>
    <x v="1"/>
    <d v="2014-03-12T00:00:00"/>
    <s v="Shipping Company B"/>
    <s v="Roland Wacker"/>
    <s v="123 10th Street"/>
    <x v="7"/>
    <s v="IL"/>
    <n v="99999"/>
    <s v="USA"/>
    <s v="Credit Card"/>
    <x v="18"/>
    <x v="1"/>
    <n v="10"/>
    <n v="55"/>
    <x v="62"/>
    <n v="55"/>
  </r>
  <r>
    <n v="1077"/>
    <x v="33"/>
    <x v="8"/>
    <x v="8"/>
    <s v="123 10th Street"/>
    <x v="7"/>
    <x v="7"/>
    <n v="99999"/>
    <s v="USA"/>
    <x v="6"/>
    <x v="1"/>
    <m/>
    <s v="Shipping Company A"/>
    <s v="Roland Wacker"/>
    <s v="123 10th Street"/>
    <x v="7"/>
    <s v="IL"/>
    <n v="99999"/>
    <s v="USA"/>
    <m/>
    <x v="1"/>
    <x v="1"/>
    <n v="3.5"/>
    <n v="21"/>
    <x v="63"/>
    <n v="7.3500000000000005"/>
  </r>
  <r>
    <n v="1078"/>
    <x v="34"/>
    <x v="10"/>
    <x v="10"/>
    <s v="123 11th Street"/>
    <x v="9"/>
    <x v="9"/>
    <n v="99999"/>
    <s v="USA"/>
    <x v="5"/>
    <x v="3"/>
    <m/>
    <s v="Shipping Company C"/>
    <s v="Peter Krschne"/>
    <s v="123 11th Street"/>
    <x v="9"/>
    <s v="FL"/>
    <n v="99999"/>
    <s v="USA"/>
    <m/>
    <x v="9"/>
    <x v="5"/>
    <n v="40"/>
    <n v="67"/>
    <x v="64"/>
    <n v="270.68"/>
  </r>
  <r>
    <n v="1079"/>
    <x v="23"/>
    <x v="11"/>
    <x v="11"/>
    <s v="123 1st Street"/>
    <x v="10"/>
    <x v="10"/>
    <n v="99999"/>
    <s v="USA"/>
    <x v="2"/>
    <x v="2"/>
    <m/>
    <s v="Shipping Company C"/>
    <s v="Anna Bedecs"/>
    <s v="123 1st Street"/>
    <x v="10"/>
    <s v="WA"/>
    <n v="99999"/>
    <s v="USA"/>
    <m/>
    <x v="13"/>
    <x v="8"/>
    <n v="18.399999999999999"/>
    <n v="75"/>
    <x v="65"/>
    <n v="138"/>
  </r>
  <r>
    <n v="1080"/>
    <x v="35"/>
    <x v="7"/>
    <x v="7"/>
    <s v="789 28th Street"/>
    <x v="6"/>
    <x v="6"/>
    <n v="99999"/>
    <s v="USA"/>
    <x v="5"/>
    <x v="3"/>
    <d v="2014-03-30T00:00:00"/>
    <s v="Shipping Company C"/>
    <s v="Amritansh Raghav"/>
    <s v="789 28th Street"/>
    <x v="6"/>
    <s v="TN"/>
    <n v="99999"/>
    <s v="USA"/>
    <s v="Credit Card"/>
    <x v="5"/>
    <x v="0"/>
    <n v="46"/>
    <n v="17"/>
    <x v="66"/>
    <n v="80.546000000000006"/>
  </r>
  <r>
    <n v="1081"/>
    <x v="36"/>
    <x v="1"/>
    <x v="1"/>
    <s v="123 4th Street"/>
    <x v="1"/>
    <x v="1"/>
    <n v="99999"/>
    <s v="USA"/>
    <x v="1"/>
    <x v="1"/>
    <d v="2014-04-06T00:00:00"/>
    <s v="Shipping Company A"/>
    <s v="Christina Lee"/>
    <s v="123 4th Street"/>
    <x v="1"/>
    <s v="NY"/>
    <n v="99999"/>
    <s v="USA"/>
    <s v="Credit Card"/>
    <x v="1"/>
    <x v="1"/>
    <n v="3.5"/>
    <n v="48"/>
    <x v="67"/>
    <n v="16.295999999999999"/>
  </r>
  <r>
    <n v="1082"/>
    <x v="37"/>
    <x v="2"/>
    <x v="2"/>
    <s v="123 12th Street"/>
    <x v="0"/>
    <x v="0"/>
    <n v="99999"/>
    <s v="USA"/>
    <x v="0"/>
    <x v="0"/>
    <d v="2014-04-14T00:00:00"/>
    <s v="Shipping Company B"/>
    <s v="John Edwards"/>
    <s v="123 12th Street"/>
    <x v="0"/>
    <s v="NV"/>
    <n v="99999"/>
    <s v="USA"/>
    <s v="Credit Card"/>
    <x v="4"/>
    <x v="0"/>
    <n v="18"/>
    <n v="74"/>
    <x v="68"/>
    <n v="137.19600000000003"/>
  </r>
  <r>
    <n v="1083"/>
    <x v="37"/>
    <x v="2"/>
    <x v="2"/>
    <s v="123 12th Street"/>
    <x v="0"/>
    <x v="0"/>
    <n v="99999"/>
    <s v="USA"/>
    <x v="0"/>
    <x v="0"/>
    <d v="2014-04-14T00:00:00"/>
    <s v="Shipping Company B"/>
    <s v="John Edwards"/>
    <s v="123 12th Street"/>
    <x v="0"/>
    <s v="NV"/>
    <n v="99999"/>
    <s v="USA"/>
    <s v="Credit Card"/>
    <x v="5"/>
    <x v="0"/>
    <n v="46"/>
    <n v="96"/>
    <x v="69"/>
    <n v="428.35200000000003"/>
  </r>
  <r>
    <n v="1084"/>
    <x v="38"/>
    <x v="3"/>
    <x v="3"/>
    <s v="123 8th Street"/>
    <x v="2"/>
    <x v="2"/>
    <n v="99999"/>
    <s v="USA"/>
    <x v="2"/>
    <x v="2"/>
    <d v="2014-04-10T00:00:00"/>
    <s v="Shipping Company C"/>
    <s v="Elizabeth Andersen"/>
    <s v="123 8th Street"/>
    <x v="2"/>
    <s v="OR"/>
    <n v="99999"/>
    <s v="USA"/>
    <s v="Credit Card"/>
    <x v="6"/>
    <x v="2"/>
    <n v="9.1999999999999993"/>
    <n v="12"/>
    <x v="70"/>
    <n v="11.3712"/>
  </r>
  <r>
    <n v="1085"/>
    <x v="36"/>
    <x v="1"/>
    <x v="1"/>
    <s v="123 4th Street"/>
    <x v="1"/>
    <x v="1"/>
    <n v="99999"/>
    <s v="USA"/>
    <x v="1"/>
    <x v="1"/>
    <n v="41735"/>
    <s v="Shipping Company C"/>
    <s v="Christina Lee"/>
    <s v="123 4th Street"/>
    <x v="1"/>
    <s v="NY"/>
    <n v="99999"/>
    <s v="USA"/>
    <s v="Check"/>
    <x v="6"/>
    <x v="2"/>
    <n v="9.1999999999999993"/>
    <n v="62"/>
    <x v="71"/>
    <n v="58.751199999999997"/>
  </r>
  <r>
    <n v="1086"/>
    <x v="39"/>
    <x v="4"/>
    <x v="4"/>
    <s v="789 29th Street"/>
    <x v="3"/>
    <x v="3"/>
    <n v="99999"/>
    <s v="USA"/>
    <x v="3"/>
    <x v="0"/>
    <n v="41760"/>
    <s v="Shipping Company B"/>
    <s v="Soo Jung Lee"/>
    <s v="789 29th Street"/>
    <x v="3"/>
    <s v="CO"/>
    <n v="99999"/>
    <s v="USA"/>
    <s v="Check"/>
    <x v="7"/>
    <x v="3"/>
    <n v="12.75"/>
    <n v="35"/>
    <x v="72"/>
    <n v="45.963750000000005"/>
  </r>
  <r>
    <n v="1087"/>
    <x v="40"/>
    <x v="5"/>
    <x v="5"/>
    <s v="123 3rd Street"/>
    <x v="4"/>
    <x v="4"/>
    <n v="99999"/>
    <s v="USA"/>
    <x v="0"/>
    <x v="0"/>
    <n v="41734"/>
    <s v="Shipping Company B"/>
    <s v="Thomas Axerr"/>
    <s v="123 3rd Street"/>
    <x v="4"/>
    <s v="CA"/>
    <n v="99999"/>
    <s v="USA"/>
    <s v="Cash"/>
    <x v="8"/>
    <x v="4"/>
    <n v="9.65"/>
    <n v="95"/>
    <x v="73"/>
    <n v="91.675000000000011"/>
  </r>
  <r>
    <n v="1088"/>
    <x v="41"/>
    <x v="6"/>
    <x v="6"/>
    <s v="123 6th Street"/>
    <x v="5"/>
    <x v="5"/>
    <n v="99999"/>
    <s v="USA"/>
    <x v="4"/>
    <x v="2"/>
    <n v="41737"/>
    <s v="Shipping Company B"/>
    <s v="Francisco Pérez-Olaeta"/>
    <s v="123 6th Street"/>
    <x v="5"/>
    <s v="WI"/>
    <n v="99999"/>
    <s v="USA"/>
    <s v="Credit Card"/>
    <x v="9"/>
    <x v="5"/>
    <n v="40"/>
    <n v="17"/>
    <x v="74"/>
    <n v="68.680000000000007"/>
  </r>
  <r>
    <n v="1089"/>
    <x v="42"/>
    <x v="7"/>
    <x v="7"/>
    <s v="789 28th Street"/>
    <x v="6"/>
    <x v="6"/>
    <n v="99999"/>
    <s v="USA"/>
    <x v="5"/>
    <x v="3"/>
    <d v="2014-04-30T00:00:00"/>
    <s v="Shipping Company C"/>
    <s v="Amritansh Raghav"/>
    <s v="789 28th Street"/>
    <x v="6"/>
    <s v="TN"/>
    <n v="99999"/>
    <s v="USA"/>
    <s v="Check"/>
    <x v="5"/>
    <x v="0"/>
    <n v="46"/>
    <n v="96"/>
    <x v="69"/>
    <n v="463.68000000000006"/>
  </r>
  <r>
    <n v="1090"/>
    <x v="38"/>
    <x v="3"/>
    <x v="3"/>
    <s v="123 8th Street"/>
    <x v="2"/>
    <x v="2"/>
    <n v="99999"/>
    <s v="USA"/>
    <x v="2"/>
    <x v="2"/>
    <d v="2014-04-10T00:00:00"/>
    <s v="Shipping Company C"/>
    <s v="Elizabeth Andersen"/>
    <s v="123 8th Street"/>
    <x v="2"/>
    <s v="OR"/>
    <n v="99999"/>
    <s v="USA"/>
    <s v="Check"/>
    <x v="7"/>
    <x v="3"/>
    <n v="12.75"/>
    <n v="83"/>
    <x v="75"/>
    <n v="102.65025"/>
  </r>
  <r>
    <n v="1091"/>
    <x v="43"/>
    <x v="8"/>
    <x v="8"/>
    <s v="123 10th Street"/>
    <x v="7"/>
    <x v="7"/>
    <n v="99999"/>
    <s v="USA"/>
    <x v="6"/>
    <x v="1"/>
    <d v="2014-04-12T00:00:00"/>
    <s v="Shipping Company B"/>
    <s v="Roland Wacker"/>
    <s v="123 10th Street"/>
    <x v="7"/>
    <s v="IL"/>
    <n v="99999"/>
    <s v="USA"/>
    <s v="Credit Card"/>
    <x v="10"/>
    <x v="0"/>
    <n v="2.99"/>
    <n v="88"/>
    <x v="76"/>
    <n v="26.04888"/>
  </r>
  <r>
    <n v="1092"/>
    <x v="44"/>
    <x v="9"/>
    <x v="9"/>
    <s v="123 7th Street"/>
    <x v="8"/>
    <x v="8"/>
    <n v="99999"/>
    <s v="USA"/>
    <x v="2"/>
    <x v="2"/>
    <m/>
    <m/>
    <s v="Ming-Yang Xie"/>
    <s v="123 7th Street"/>
    <x v="8"/>
    <s v="ID"/>
    <n v="99999"/>
    <s v="USA"/>
    <m/>
    <x v="5"/>
    <x v="0"/>
    <n v="46"/>
    <n v="59"/>
    <x v="77"/>
    <n v="284.97000000000003"/>
  </r>
  <r>
    <n v="1093"/>
    <x v="43"/>
    <x v="8"/>
    <x v="8"/>
    <s v="123 10th Street"/>
    <x v="7"/>
    <x v="7"/>
    <n v="99999"/>
    <s v="USA"/>
    <x v="6"/>
    <x v="1"/>
    <d v="2014-04-12T00:00:00"/>
    <s v="Shipping Company A"/>
    <s v="Roland Wacker"/>
    <s v="123 10th Street"/>
    <x v="7"/>
    <s v="IL"/>
    <n v="99999"/>
    <s v="USA"/>
    <m/>
    <x v="11"/>
    <x v="6"/>
    <n v="25"/>
    <n v="27"/>
    <x v="78"/>
    <n v="68.849999999999994"/>
  </r>
  <r>
    <n v="1094"/>
    <x v="43"/>
    <x v="8"/>
    <x v="8"/>
    <s v="123 10th Street"/>
    <x v="7"/>
    <x v="7"/>
    <n v="99999"/>
    <s v="USA"/>
    <x v="6"/>
    <x v="1"/>
    <d v="2014-04-12T00:00:00"/>
    <s v="Shipping Company A"/>
    <s v="Roland Wacker"/>
    <s v="123 10th Street"/>
    <x v="7"/>
    <s v="IL"/>
    <n v="99999"/>
    <s v="USA"/>
    <m/>
    <x v="12"/>
    <x v="7"/>
    <n v="22"/>
    <n v="37"/>
    <x v="79"/>
    <n v="85.470000000000013"/>
  </r>
  <r>
    <n v="1095"/>
    <x v="43"/>
    <x v="8"/>
    <x v="8"/>
    <s v="123 10th Street"/>
    <x v="7"/>
    <x v="7"/>
    <n v="99999"/>
    <s v="USA"/>
    <x v="6"/>
    <x v="1"/>
    <d v="2014-04-12T00:00:00"/>
    <s v="Shipping Company A"/>
    <s v="Roland Wacker"/>
    <s v="123 10th Street"/>
    <x v="7"/>
    <s v="IL"/>
    <n v="99999"/>
    <s v="USA"/>
    <m/>
    <x v="6"/>
    <x v="2"/>
    <n v="9.1999999999999993"/>
    <n v="75"/>
    <x v="80"/>
    <n v="69"/>
  </r>
  <r>
    <n v="1096"/>
    <x v="45"/>
    <x v="10"/>
    <x v="10"/>
    <s v="123 11th Street"/>
    <x v="9"/>
    <x v="9"/>
    <n v="99999"/>
    <s v="USA"/>
    <x v="5"/>
    <x v="3"/>
    <m/>
    <s v="Shipping Company C"/>
    <s v="Peter Krschne"/>
    <s v="123 11th Street"/>
    <x v="9"/>
    <s v="FL"/>
    <n v="99999"/>
    <s v="USA"/>
    <m/>
    <x v="1"/>
    <x v="1"/>
    <n v="3.5"/>
    <n v="71"/>
    <x v="81"/>
    <n v="24.104500000000002"/>
  </r>
  <r>
    <n v="1097"/>
    <x v="45"/>
    <x v="10"/>
    <x v="10"/>
    <s v="123 11th Street"/>
    <x v="9"/>
    <x v="9"/>
    <n v="99999"/>
    <s v="USA"/>
    <x v="5"/>
    <x v="3"/>
    <m/>
    <s v="Shipping Company C"/>
    <s v="Peter Krschne"/>
    <s v="123 11th Street"/>
    <x v="9"/>
    <s v="FL"/>
    <n v="99999"/>
    <s v="USA"/>
    <m/>
    <x v="10"/>
    <x v="0"/>
    <n v="2.99"/>
    <n v="88"/>
    <x v="76"/>
    <n v="26.04888"/>
  </r>
  <r>
    <n v="1098"/>
    <x v="46"/>
    <x v="11"/>
    <x v="11"/>
    <s v="123 1st Street"/>
    <x v="10"/>
    <x v="10"/>
    <n v="99999"/>
    <s v="USA"/>
    <x v="2"/>
    <x v="2"/>
    <m/>
    <m/>
    <s v="Anna Bedecs"/>
    <s v="123 1st Street"/>
    <x v="10"/>
    <s v="WA"/>
    <n v="99999"/>
    <s v="USA"/>
    <m/>
    <x v="4"/>
    <x v="0"/>
    <n v="18"/>
    <n v="55"/>
    <x v="82"/>
    <n v="97.02"/>
  </r>
  <r>
    <n v="1099"/>
    <x v="47"/>
    <x v="4"/>
    <x v="4"/>
    <s v="789 29th Street"/>
    <x v="3"/>
    <x v="3"/>
    <n v="99999"/>
    <s v="USA"/>
    <x v="3"/>
    <x v="0"/>
    <d v="2014-05-31T00:00:00"/>
    <s v="Shipping Company B"/>
    <s v="Soo Jung Lee"/>
    <s v="789 29th Street"/>
    <x v="3"/>
    <s v="CO"/>
    <n v="99999"/>
    <s v="USA"/>
    <s v="Check"/>
    <x v="7"/>
    <x v="3"/>
    <n v="12.75"/>
    <n v="14"/>
    <x v="83"/>
    <n v="16.9575"/>
  </r>
  <r>
    <n v="1100"/>
    <x v="48"/>
    <x v="5"/>
    <x v="5"/>
    <s v="123 3rd Street"/>
    <x v="4"/>
    <x v="4"/>
    <n v="99999"/>
    <s v="USA"/>
    <x v="0"/>
    <x v="0"/>
    <d v="2014-05-05T00:00:00"/>
    <s v="Shipping Company B"/>
    <s v="Thomas Axerr"/>
    <s v="123 3rd Street"/>
    <x v="4"/>
    <s v="CA"/>
    <n v="99999"/>
    <s v="USA"/>
    <s v="Cash"/>
    <x v="8"/>
    <x v="4"/>
    <n v="9.65"/>
    <n v="43"/>
    <x v="84"/>
    <n v="42.324900000000007"/>
  </r>
  <r>
    <n v="1101"/>
    <x v="49"/>
    <x v="6"/>
    <x v="6"/>
    <s v="123 6th Street"/>
    <x v="5"/>
    <x v="5"/>
    <n v="99999"/>
    <s v="USA"/>
    <x v="4"/>
    <x v="2"/>
    <n v="41767"/>
    <s v="Shipping Company B"/>
    <s v="Francisco Pérez-Olaeta"/>
    <s v="123 6th Street"/>
    <x v="5"/>
    <s v="WI"/>
    <n v="99999"/>
    <s v="USA"/>
    <s v="Credit Card"/>
    <x v="9"/>
    <x v="5"/>
    <n v="40"/>
    <n v="63"/>
    <x v="85"/>
    <n v="254.52"/>
  </r>
  <r>
    <n v="1102"/>
    <x v="50"/>
    <x v="7"/>
    <x v="7"/>
    <s v="789 28th Street"/>
    <x v="6"/>
    <x v="6"/>
    <n v="99999"/>
    <s v="USA"/>
    <x v="5"/>
    <x v="3"/>
    <d v="2014-05-30T00:00:00"/>
    <s v="Shipping Company C"/>
    <s v="Amritansh Raghav"/>
    <s v="789 28th Street"/>
    <x v="6"/>
    <s v="TN"/>
    <n v="99999"/>
    <s v="USA"/>
    <s v="Check"/>
    <x v="5"/>
    <x v="0"/>
    <n v="46"/>
    <n v="36"/>
    <x v="86"/>
    <n v="165.60000000000002"/>
  </r>
  <r>
    <n v="1103"/>
    <x v="51"/>
    <x v="3"/>
    <x v="3"/>
    <s v="123 8th Street"/>
    <x v="2"/>
    <x v="2"/>
    <n v="99999"/>
    <s v="USA"/>
    <x v="2"/>
    <x v="2"/>
    <d v="2014-05-10T00:00:00"/>
    <s v="Shipping Company C"/>
    <s v="Elizabeth Andersen"/>
    <s v="123 8th Street"/>
    <x v="2"/>
    <s v="OR"/>
    <n v="99999"/>
    <s v="USA"/>
    <s v="Check"/>
    <x v="7"/>
    <x v="3"/>
    <n v="12.75"/>
    <n v="41"/>
    <x v="87"/>
    <n v="54.366000000000007"/>
  </r>
  <r>
    <n v="1104"/>
    <x v="52"/>
    <x v="8"/>
    <x v="8"/>
    <s v="123 10th Street"/>
    <x v="7"/>
    <x v="7"/>
    <n v="99999"/>
    <s v="USA"/>
    <x v="6"/>
    <x v="1"/>
    <d v="2014-05-12T00:00:00"/>
    <s v="Shipping Company B"/>
    <s v="Roland Wacker"/>
    <s v="123 10th Street"/>
    <x v="7"/>
    <s v="IL"/>
    <n v="99999"/>
    <s v="USA"/>
    <s v="Credit Card"/>
    <x v="10"/>
    <x v="0"/>
    <n v="2.99"/>
    <n v="35"/>
    <x v="88"/>
    <n v="10.255700000000001"/>
  </r>
  <r>
    <n v="1105"/>
    <x v="53"/>
    <x v="9"/>
    <x v="9"/>
    <s v="123 7th Street"/>
    <x v="8"/>
    <x v="8"/>
    <n v="99999"/>
    <s v="USA"/>
    <x v="2"/>
    <x v="2"/>
    <m/>
    <m/>
    <s v="Ming-Yang Xie"/>
    <s v="123 7th Street"/>
    <x v="8"/>
    <s v="ID"/>
    <n v="99999"/>
    <s v="USA"/>
    <m/>
    <x v="5"/>
    <x v="0"/>
    <n v="46"/>
    <n v="31"/>
    <x v="89"/>
    <n v="136.89599999999999"/>
  </r>
  <r>
    <n v="1106"/>
    <x v="52"/>
    <x v="8"/>
    <x v="8"/>
    <s v="123 10th Street"/>
    <x v="7"/>
    <x v="7"/>
    <n v="99999"/>
    <s v="USA"/>
    <x v="6"/>
    <x v="1"/>
    <n v="41771"/>
    <s v="Shipping Company A"/>
    <s v="Roland Wacker"/>
    <s v="123 10th Street"/>
    <x v="7"/>
    <s v="IL"/>
    <n v="99999"/>
    <s v="USA"/>
    <m/>
    <x v="11"/>
    <x v="6"/>
    <n v="25"/>
    <n v="52"/>
    <x v="90"/>
    <n v="123.5"/>
  </r>
  <r>
    <n v="1107"/>
    <x v="52"/>
    <x v="8"/>
    <x v="8"/>
    <s v="123 10th Street"/>
    <x v="7"/>
    <x v="7"/>
    <n v="99999"/>
    <s v="USA"/>
    <x v="6"/>
    <x v="1"/>
    <n v="41771"/>
    <s v="Shipping Company A"/>
    <s v="Roland Wacker"/>
    <s v="123 10th Street"/>
    <x v="7"/>
    <s v="IL"/>
    <n v="99999"/>
    <s v="USA"/>
    <m/>
    <x v="12"/>
    <x v="7"/>
    <n v="22"/>
    <n v="30"/>
    <x v="91"/>
    <n v="67.320000000000007"/>
  </r>
  <r>
    <n v="1108"/>
    <x v="52"/>
    <x v="8"/>
    <x v="8"/>
    <s v="123 10th Street"/>
    <x v="7"/>
    <x v="7"/>
    <n v="99999"/>
    <s v="USA"/>
    <x v="6"/>
    <x v="1"/>
    <d v="2014-05-12T00:00:00"/>
    <s v="Shipping Company A"/>
    <s v="Roland Wacker"/>
    <s v="123 10th Street"/>
    <x v="7"/>
    <s v="IL"/>
    <n v="99999"/>
    <s v="USA"/>
    <m/>
    <x v="6"/>
    <x v="2"/>
    <n v="9.1999999999999993"/>
    <n v="41"/>
    <x v="92"/>
    <n v="38.474400000000003"/>
  </r>
  <r>
    <n v="1109"/>
    <x v="54"/>
    <x v="10"/>
    <x v="10"/>
    <s v="123 11th Street"/>
    <x v="9"/>
    <x v="9"/>
    <n v="99999"/>
    <s v="USA"/>
    <x v="5"/>
    <x v="3"/>
    <m/>
    <s v="Shipping Company C"/>
    <s v="Peter Krschne"/>
    <s v="123 11th Street"/>
    <x v="9"/>
    <s v="FL"/>
    <n v="99999"/>
    <s v="USA"/>
    <m/>
    <x v="1"/>
    <x v="1"/>
    <n v="3.5"/>
    <n v="44"/>
    <x v="93"/>
    <n v="15.246"/>
  </r>
  <r>
    <n v="1110"/>
    <x v="54"/>
    <x v="10"/>
    <x v="10"/>
    <s v="123 11th Street"/>
    <x v="9"/>
    <x v="9"/>
    <n v="99999"/>
    <s v="USA"/>
    <x v="5"/>
    <x v="3"/>
    <m/>
    <s v="Shipping Company C"/>
    <s v="Peter Krschne"/>
    <s v="123 11th Street"/>
    <x v="9"/>
    <s v="FL"/>
    <n v="99999"/>
    <s v="USA"/>
    <m/>
    <x v="10"/>
    <x v="0"/>
    <n v="2.99"/>
    <n v="77"/>
    <x v="94"/>
    <n v="23.023000000000003"/>
  </r>
  <r>
    <n v="1111"/>
    <x v="55"/>
    <x v="11"/>
    <x v="11"/>
    <s v="123 1st Street"/>
    <x v="10"/>
    <x v="10"/>
    <n v="99999"/>
    <s v="USA"/>
    <x v="2"/>
    <x v="2"/>
    <m/>
    <m/>
    <s v="Anna Bedecs"/>
    <s v="123 1st Street"/>
    <x v="10"/>
    <s v="WA"/>
    <n v="99999"/>
    <s v="USA"/>
    <m/>
    <x v="4"/>
    <x v="0"/>
    <n v="18"/>
    <n v="29"/>
    <x v="95"/>
    <n v="52.722000000000001"/>
  </r>
  <r>
    <n v="1112"/>
    <x v="55"/>
    <x v="11"/>
    <x v="11"/>
    <s v="123 1st Street"/>
    <x v="10"/>
    <x v="10"/>
    <n v="99999"/>
    <s v="USA"/>
    <x v="2"/>
    <x v="2"/>
    <m/>
    <m/>
    <s v="Anna Bedecs"/>
    <s v="123 1st Street"/>
    <x v="10"/>
    <s v="WA"/>
    <n v="99999"/>
    <s v="USA"/>
    <m/>
    <x v="5"/>
    <x v="0"/>
    <n v="46"/>
    <n v="77"/>
    <x v="96"/>
    <n v="368.36800000000005"/>
  </r>
  <r>
    <n v="1113"/>
    <x v="55"/>
    <x v="11"/>
    <x v="11"/>
    <s v="123 1st Street"/>
    <x v="10"/>
    <x v="10"/>
    <n v="99999"/>
    <s v="USA"/>
    <x v="2"/>
    <x v="2"/>
    <m/>
    <m/>
    <s v="Anna Bedecs"/>
    <s v="123 1st Street"/>
    <x v="10"/>
    <s v="WA"/>
    <n v="99999"/>
    <s v="USA"/>
    <m/>
    <x v="10"/>
    <x v="0"/>
    <n v="2.99"/>
    <n v="73"/>
    <x v="97"/>
    <n v="21.827000000000002"/>
  </r>
  <r>
    <n v="1114"/>
    <x v="50"/>
    <x v="7"/>
    <x v="7"/>
    <s v="789 28th Street"/>
    <x v="6"/>
    <x v="6"/>
    <n v="99999"/>
    <s v="USA"/>
    <x v="5"/>
    <x v="3"/>
    <n v="41789"/>
    <s v="Shipping Company C"/>
    <s v="Amritansh Raghav"/>
    <s v="789 28th Street"/>
    <x v="6"/>
    <s v="TN"/>
    <n v="99999"/>
    <s v="USA"/>
    <s v="Credit Card"/>
    <x v="8"/>
    <x v="4"/>
    <n v="9.65"/>
    <n v="74"/>
    <x v="98"/>
    <n v="67.839500000000001"/>
  </r>
  <r>
    <n v="1115"/>
    <x v="50"/>
    <x v="7"/>
    <x v="7"/>
    <s v="789 28th Street"/>
    <x v="6"/>
    <x v="6"/>
    <n v="99999"/>
    <s v="USA"/>
    <x v="5"/>
    <x v="3"/>
    <d v="2014-05-30T00:00:00"/>
    <s v="Shipping Company C"/>
    <s v="Amritansh Raghav"/>
    <s v="789 28th Street"/>
    <x v="6"/>
    <s v="TN"/>
    <n v="99999"/>
    <s v="USA"/>
    <s v="Credit Card"/>
    <x v="13"/>
    <x v="8"/>
    <n v="18.399999999999999"/>
    <n v="25"/>
    <x v="99"/>
    <n v="46.46"/>
  </r>
  <r>
    <n v="1116"/>
    <x v="56"/>
    <x v="12"/>
    <x v="12"/>
    <s v="123 9th Street"/>
    <x v="11"/>
    <x v="11"/>
    <n v="99999"/>
    <s v="USA"/>
    <x v="7"/>
    <x v="0"/>
    <d v="2014-05-11T00:00:00"/>
    <s v="Shipping Company A"/>
    <s v="Sven Mortensen"/>
    <s v="123 9th Street"/>
    <x v="11"/>
    <s v="UT"/>
    <n v="99999"/>
    <s v="USA"/>
    <s v="Check"/>
    <x v="14"/>
    <x v="9"/>
    <n v="19.5"/>
    <n v="82"/>
    <x v="100"/>
    <n v="153.50399999999999"/>
  </r>
  <r>
    <n v="1117"/>
    <x v="56"/>
    <x v="12"/>
    <x v="12"/>
    <s v="123 9th Street"/>
    <x v="11"/>
    <x v="11"/>
    <n v="99999"/>
    <s v="USA"/>
    <x v="7"/>
    <x v="0"/>
    <d v="2014-05-11T00:00:00"/>
    <s v="Shipping Company A"/>
    <s v="Sven Mortensen"/>
    <s v="123 9th Street"/>
    <x v="11"/>
    <s v="UT"/>
    <n v="99999"/>
    <s v="USA"/>
    <s v="Check"/>
    <x v="15"/>
    <x v="10"/>
    <n v="34.799999999999997"/>
    <n v="37"/>
    <x v="101"/>
    <n v="132.62279999999998"/>
  </r>
  <r>
    <n v="1118"/>
    <x v="49"/>
    <x v="6"/>
    <x v="6"/>
    <s v="123 6th Street"/>
    <x v="5"/>
    <x v="5"/>
    <n v="99999"/>
    <s v="USA"/>
    <x v="4"/>
    <x v="2"/>
    <n v="41767"/>
    <s v="Shipping Company B"/>
    <s v="Francisco Pérez-Olaeta"/>
    <s v="123 6th Street"/>
    <x v="5"/>
    <s v="WI"/>
    <n v="99999"/>
    <s v="USA"/>
    <s v="Credit Card"/>
    <x v="0"/>
    <x v="0"/>
    <n v="14"/>
    <n v="84"/>
    <x v="102"/>
    <n v="112.896"/>
  </r>
  <r>
    <n v="1119"/>
    <x v="51"/>
    <x v="3"/>
    <x v="3"/>
    <s v="123 8th Street"/>
    <x v="2"/>
    <x v="2"/>
    <n v="99999"/>
    <s v="USA"/>
    <x v="2"/>
    <x v="2"/>
    <n v="41769"/>
    <s v="Shipping Company B"/>
    <s v="Elizabeth Andersen"/>
    <s v="123 8th Street"/>
    <x v="2"/>
    <s v="OR"/>
    <n v="99999"/>
    <s v="USA"/>
    <s v="Check"/>
    <x v="9"/>
    <x v="5"/>
    <n v="40"/>
    <n v="73"/>
    <x v="103"/>
    <n v="283.24"/>
  </r>
  <r>
    <n v="1120"/>
    <x v="51"/>
    <x v="3"/>
    <x v="3"/>
    <s v="123 8th Street"/>
    <x v="2"/>
    <x v="2"/>
    <n v="99999"/>
    <s v="USA"/>
    <x v="2"/>
    <x v="2"/>
    <n v="41769"/>
    <s v="Shipping Company B"/>
    <s v="Elizabeth Andersen"/>
    <s v="123 8th Street"/>
    <x v="2"/>
    <s v="OR"/>
    <n v="99999"/>
    <s v="USA"/>
    <s v="Check"/>
    <x v="6"/>
    <x v="2"/>
    <n v="9.1999999999999993"/>
    <n v="51"/>
    <x v="104"/>
    <n v="44.573999999999998"/>
  </r>
  <r>
    <n v="1121"/>
    <x v="57"/>
    <x v="13"/>
    <x v="13"/>
    <s v="789 25th Street"/>
    <x v="7"/>
    <x v="7"/>
    <n v="99999"/>
    <s v="USA"/>
    <x v="6"/>
    <x v="1"/>
    <n v="41786"/>
    <s v="Shipping Company A"/>
    <s v="John Rodman"/>
    <s v="789 25th Street"/>
    <x v="7"/>
    <s v="IL"/>
    <n v="99999"/>
    <s v="USA"/>
    <s v="Cash"/>
    <x v="21"/>
    <x v="2"/>
    <n v="10"/>
    <n v="66"/>
    <x v="91"/>
    <n v="68.64"/>
  </r>
  <r>
    <n v="1122"/>
    <x v="58"/>
    <x v="14"/>
    <x v="14"/>
    <s v="789 26th Street"/>
    <x v="9"/>
    <x v="9"/>
    <n v="99999"/>
    <s v="USA"/>
    <x v="5"/>
    <x v="3"/>
    <n v="41787"/>
    <s v="Shipping Company C"/>
    <s v="Run Liu"/>
    <s v="789 26th Street"/>
    <x v="9"/>
    <s v="FL"/>
    <n v="99999"/>
    <s v="USA"/>
    <s v="Credit Card"/>
    <x v="22"/>
    <x v="13"/>
    <n v="21.35"/>
    <n v="36"/>
    <x v="105"/>
    <n v="74.554200000000009"/>
  </r>
  <r>
    <n v="1123"/>
    <x v="58"/>
    <x v="14"/>
    <x v="14"/>
    <s v="789 26th Street"/>
    <x v="9"/>
    <x v="9"/>
    <n v="99999"/>
    <s v="USA"/>
    <x v="5"/>
    <x v="3"/>
    <d v="2014-05-28T00:00:00"/>
    <s v="Shipping Company C"/>
    <s v="Run Liu"/>
    <s v="789 26th Street"/>
    <x v="9"/>
    <s v="FL"/>
    <n v="99999"/>
    <s v="USA"/>
    <s v="Credit Card"/>
    <x v="8"/>
    <x v="4"/>
    <n v="9.65"/>
    <n v="87"/>
    <x v="106"/>
    <n v="87.313200000000009"/>
  </r>
  <r>
    <n v="1124"/>
    <x v="58"/>
    <x v="14"/>
    <x v="14"/>
    <s v="789 26th Street"/>
    <x v="9"/>
    <x v="9"/>
    <n v="99999"/>
    <s v="USA"/>
    <x v="5"/>
    <x v="3"/>
    <d v="2014-05-28T00:00:00"/>
    <s v="Shipping Company C"/>
    <s v="Run Liu"/>
    <s v="789 26th Street"/>
    <x v="9"/>
    <s v="FL"/>
    <n v="99999"/>
    <s v="USA"/>
    <s v="Credit Card"/>
    <x v="13"/>
    <x v="8"/>
    <n v="18.399999999999999"/>
    <n v="64"/>
    <x v="107"/>
    <n v="115.40479999999999"/>
  </r>
  <r>
    <n v="1125"/>
    <x v="47"/>
    <x v="4"/>
    <x v="4"/>
    <s v="789 29th Street"/>
    <x v="3"/>
    <x v="3"/>
    <n v="99999"/>
    <s v="USA"/>
    <x v="3"/>
    <x v="0"/>
    <d v="2014-05-31T00:00:00"/>
    <s v="Shipping Company B"/>
    <s v="Soo Jung Lee"/>
    <s v="789 29th Street"/>
    <x v="3"/>
    <s v="CO"/>
    <n v="99999"/>
    <s v="USA"/>
    <s v="Check"/>
    <x v="0"/>
    <x v="0"/>
    <n v="14"/>
    <n v="21"/>
    <x v="108"/>
    <n v="30.870000000000005"/>
  </r>
  <r>
    <n v="1126"/>
    <x v="49"/>
    <x v="6"/>
    <x v="6"/>
    <s v="123 6th Street"/>
    <x v="5"/>
    <x v="5"/>
    <n v="99999"/>
    <s v="USA"/>
    <x v="4"/>
    <x v="2"/>
    <d v="2014-05-08T00:00:00"/>
    <s v="Shipping Company C"/>
    <s v="Francisco Pérez-Olaeta"/>
    <s v="123 6th Street"/>
    <x v="5"/>
    <s v="WI"/>
    <n v="99999"/>
    <s v="USA"/>
    <s v="Check"/>
    <x v="7"/>
    <x v="3"/>
    <n v="12.75"/>
    <n v="19"/>
    <x v="109"/>
    <n v="24.46725"/>
  </r>
  <r>
    <n v="1128"/>
    <x v="59"/>
    <x v="1"/>
    <x v="1"/>
    <s v="123 4th Street"/>
    <x v="1"/>
    <x v="1"/>
    <n v="99999"/>
    <s v="USA"/>
    <x v="1"/>
    <x v="1"/>
    <d v="2014-05-06T00:00:00"/>
    <s v="Shipping Company A"/>
    <s v="Christina Lee"/>
    <s v="123 4th Street"/>
    <x v="1"/>
    <s v="NY"/>
    <n v="99999"/>
    <s v="USA"/>
    <s v="Credit Card"/>
    <x v="23"/>
    <x v="6"/>
    <n v="81"/>
    <n v="23"/>
    <x v="110"/>
    <n v="195.61500000000001"/>
  </r>
  <r>
    <n v="1129"/>
    <x v="59"/>
    <x v="1"/>
    <x v="1"/>
    <s v="123 4th Street"/>
    <x v="1"/>
    <x v="1"/>
    <n v="99999"/>
    <s v="USA"/>
    <x v="1"/>
    <x v="1"/>
    <d v="2014-05-06T00:00:00"/>
    <s v="Shipping Company A"/>
    <s v="Christina Lee"/>
    <s v="123 4th Street"/>
    <x v="1"/>
    <s v="NY"/>
    <n v="99999"/>
    <s v="USA"/>
    <s v="Credit Card"/>
    <x v="24"/>
    <x v="14"/>
    <n v="7"/>
    <n v="72"/>
    <x v="111"/>
    <n v="51.912000000000006"/>
  </r>
  <r>
    <n v="1131"/>
    <x v="51"/>
    <x v="3"/>
    <x v="3"/>
    <s v="123 8th Street"/>
    <x v="2"/>
    <x v="2"/>
    <n v="99999"/>
    <s v="USA"/>
    <x v="2"/>
    <x v="2"/>
    <d v="2014-05-10T00:00:00"/>
    <s v="Shipping Company C"/>
    <s v="Elizabeth Andersen"/>
    <s v="123 8th Street"/>
    <x v="2"/>
    <s v="OR"/>
    <n v="99999"/>
    <s v="USA"/>
    <s v="Credit Card"/>
    <x v="15"/>
    <x v="10"/>
    <n v="34.799999999999997"/>
    <n v="22"/>
    <x v="112"/>
    <n v="75.02879999999999"/>
  </r>
  <r>
    <n v="1134"/>
    <x v="48"/>
    <x v="5"/>
    <x v="5"/>
    <s v="123 3rd Street"/>
    <x v="4"/>
    <x v="4"/>
    <n v="99999"/>
    <s v="USA"/>
    <x v="0"/>
    <x v="0"/>
    <d v="2014-05-05T00:00:00"/>
    <s v="Shipping Company B"/>
    <s v="Thomas Axerr"/>
    <s v="123 3rd Street"/>
    <x v="4"/>
    <s v="CA"/>
    <n v="99999"/>
    <s v="USA"/>
    <s v="Cash"/>
    <x v="16"/>
    <x v="7"/>
    <n v="10"/>
    <n v="82"/>
    <x v="113"/>
    <n v="85.28"/>
  </r>
  <r>
    <n v="1135"/>
    <x v="48"/>
    <x v="5"/>
    <x v="5"/>
    <s v="123 3rd Street"/>
    <x v="4"/>
    <x v="4"/>
    <n v="99999"/>
    <s v="USA"/>
    <x v="0"/>
    <x v="0"/>
    <d v="2014-05-05T00:00:00"/>
    <s v="Shipping Company B"/>
    <s v="Thomas Axerr"/>
    <s v="123 3rd Street"/>
    <x v="4"/>
    <s v="CA"/>
    <n v="99999"/>
    <s v="USA"/>
    <s v="Cash"/>
    <x v="9"/>
    <x v="5"/>
    <n v="40"/>
    <n v="98"/>
    <x v="114"/>
    <n v="411.6"/>
  </r>
  <r>
    <n v="1138"/>
    <x v="60"/>
    <x v="9"/>
    <x v="9"/>
    <s v="123 7th Street"/>
    <x v="8"/>
    <x v="8"/>
    <n v="99999"/>
    <s v="USA"/>
    <x v="2"/>
    <x v="2"/>
    <m/>
    <m/>
    <s v="Ming-Yang Xie"/>
    <s v="123 7th Street"/>
    <x v="8"/>
    <s v="ID"/>
    <n v="99999"/>
    <s v="USA"/>
    <m/>
    <x v="5"/>
    <x v="0"/>
    <n v="46"/>
    <n v="71"/>
    <x v="115"/>
    <n v="310.27"/>
  </r>
  <r>
    <n v="1139"/>
    <x v="61"/>
    <x v="8"/>
    <x v="8"/>
    <s v="123 10th Street"/>
    <x v="7"/>
    <x v="7"/>
    <n v="99999"/>
    <s v="USA"/>
    <x v="6"/>
    <x v="1"/>
    <d v="2014-06-12T00:00:00"/>
    <s v="Shipping Company A"/>
    <s v="Roland Wacker"/>
    <s v="123 10th Street"/>
    <x v="7"/>
    <s v="IL"/>
    <n v="99999"/>
    <s v="USA"/>
    <m/>
    <x v="11"/>
    <x v="6"/>
    <n v="25"/>
    <n v="40"/>
    <x v="116"/>
    <n v="105"/>
  </r>
  <r>
    <n v="1140"/>
    <x v="61"/>
    <x v="8"/>
    <x v="8"/>
    <s v="123 10th Street"/>
    <x v="7"/>
    <x v="7"/>
    <n v="99999"/>
    <s v="USA"/>
    <x v="6"/>
    <x v="1"/>
    <d v="2014-06-12T00:00:00"/>
    <s v="Shipping Company A"/>
    <s v="Roland Wacker"/>
    <s v="123 10th Street"/>
    <x v="7"/>
    <s v="IL"/>
    <n v="99999"/>
    <s v="USA"/>
    <m/>
    <x v="12"/>
    <x v="7"/>
    <n v="22"/>
    <n v="80"/>
    <x v="117"/>
    <n v="172.48"/>
  </r>
  <r>
    <n v="1141"/>
    <x v="61"/>
    <x v="8"/>
    <x v="8"/>
    <s v="123 10th Street"/>
    <x v="7"/>
    <x v="7"/>
    <n v="99999"/>
    <s v="USA"/>
    <x v="6"/>
    <x v="1"/>
    <d v="2014-06-12T00:00:00"/>
    <s v="Shipping Company A"/>
    <s v="Roland Wacker"/>
    <s v="123 10th Street"/>
    <x v="7"/>
    <s v="IL"/>
    <n v="99999"/>
    <s v="USA"/>
    <m/>
    <x v="6"/>
    <x v="2"/>
    <n v="9.1999999999999993"/>
    <n v="38"/>
    <x v="7"/>
    <n v="33.211999999999996"/>
  </r>
  <r>
    <n v="1142"/>
    <x v="62"/>
    <x v="10"/>
    <x v="10"/>
    <s v="123 11th Street"/>
    <x v="9"/>
    <x v="9"/>
    <n v="99999"/>
    <s v="USA"/>
    <x v="5"/>
    <x v="3"/>
    <m/>
    <s v="Shipping Company C"/>
    <s v="Peter Krschne"/>
    <s v="123 11th Street"/>
    <x v="9"/>
    <s v="FL"/>
    <n v="99999"/>
    <s v="USA"/>
    <m/>
    <x v="1"/>
    <x v="1"/>
    <n v="3.5"/>
    <n v="28"/>
    <x v="118"/>
    <n v="10.290000000000001"/>
  </r>
  <r>
    <n v="1143"/>
    <x v="62"/>
    <x v="10"/>
    <x v="10"/>
    <s v="123 11th Street"/>
    <x v="9"/>
    <x v="9"/>
    <n v="99999"/>
    <s v="USA"/>
    <x v="5"/>
    <x v="3"/>
    <m/>
    <s v="Shipping Company C"/>
    <s v="Peter Krschne"/>
    <s v="123 11th Street"/>
    <x v="9"/>
    <s v="FL"/>
    <n v="99999"/>
    <s v="USA"/>
    <m/>
    <x v="10"/>
    <x v="0"/>
    <n v="2.99"/>
    <n v="60"/>
    <x v="119"/>
    <n v="17.581200000000003"/>
  </r>
  <r>
    <n v="1144"/>
    <x v="63"/>
    <x v="11"/>
    <x v="11"/>
    <s v="123 1st Street"/>
    <x v="10"/>
    <x v="10"/>
    <n v="99999"/>
    <s v="USA"/>
    <x v="2"/>
    <x v="2"/>
    <m/>
    <m/>
    <s v="Anna Bedecs"/>
    <s v="123 1st Street"/>
    <x v="10"/>
    <s v="WA"/>
    <n v="99999"/>
    <s v="USA"/>
    <m/>
    <x v="4"/>
    <x v="0"/>
    <n v="18"/>
    <n v="33"/>
    <x v="120"/>
    <n v="58.212000000000003"/>
  </r>
  <r>
    <n v="1145"/>
    <x v="63"/>
    <x v="11"/>
    <x v="11"/>
    <s v="123 1st Street"/>
    <x v="10"/>
    <x v="10"/>
    <n v="99999"/>
    <s v="USA"/>
    <x v="2"/>
    <x v="2"/>
    <m/>
    <m/>
    <s v="Anna Bedecs"/>
    <s v="123 1st Street"/>
    <x v="10"/>
    <s v="WA"/>
    <n v="99999"/>
    <s v="USA"/>
    <m/>
    <x v="5"/>
    <x v="0"/>
    <n v="46"/>
    <n v="22"/>
    <x v="121"/>
    <n v="101.2"/>
  </r>
  <r>
    <n v="1146"/>
    <x v="63"/>
    <x v="11"/>
    <x v="11"/>
    <s v="123 1st Street"/>
    <x v="10"/>
    <x v="10"/>
    <n v="99999"/>
    <s v="USA"/>
    <x v="2"/>
    <x v="2"/>
    <m/>
    <m/>
    <s v="Anna Bedecs"/>
    <s v="123 1st Street"/>
    <x v="10"/>
    <s v="WA"/>
    <n v="99999"/>
    <s v="USA"/>
    <m/>
    <x v="10"/>
    <x v="0"/>
    <n v="2.99"/>
    <n v="51"/>
    <x v="122"/>
    <n v="14.944020000000002"/>
  </r>
  <r>
    <n v="1147"/>
    <x v="64"/>
    <x v="7"/>
    <x v="7"/>
    <s v="789 28th Street"/>
    <x v="6"/>
    <x v="6"/>
    <n v="99999"/>
    <s v="USA"/>
    <x v="5"/>
    <x v="3"/>
    <d v="2014-06-30T00:00:00"/>
    <s v="Shipping Company C"/>
    <s v="Amritansh Raghav"/>
    <s v="789 28th Street"/>
    <x v="6"/>
    <s v="TN"/>
    <n v="99999"/>
    <s v="USA"/>
    <s v="Credit Card"/>
    <x v="8"/>
    <x v="4"/>
    <n v="9.65"/>
    <n v="60"/>
    <x v="123"/>
    <n v="57.321000000000005"/>
  </r>
  <r>
    <n v="1148"/>
    <x v="64"/>
    <x v="7"/>
    <x v="7"/>
    <s v="789 28th Street"/>
    <x v="6"/>
    <x v="6"/>
    <n v="99999"/>
    <s v="USA"/>
    <x v="5"/>
    <x v="3"/>
    <d v="2014-06-30T00:00:00"/>
    <s v="Shipping Company C"/>
    <s v="Amritansh Raghav"/>
    <s v="789 28th Street"/>
    <x v="6"/>
    <s v="TN"/>
    <n v="99999"/>
    <s v="USA"/>
    <s v="Credit Card"/>
    <x v="13"/>
    <x v="8"/>
    <n v="18.399999999999999"/>
    <n v="98"/>
    <x v="124"/>
    <n v="183.9264"/>
  </r>
  <r>
    <n v="1149"/>
    <x v="65"/>
    <x v="12"/>
    <x v="12"/>
    <s v="123 9th Street"/>
    <x v="11"/>
    <x v="11"/>
    <n v="99999"/>
    <s v="USA"/>
    <x v="7"/>
    <x v="0"/>
    <d v="2014-06-11T00:00:00"/>
    <s v="Shipping Company A"/>
    <s v="Sven Mortensen"/>
    <s v="123 9th Street"/>
    <x v="11"/>
    <s v="UT"/>
    <n v="99999"/>
    <s v="USA"/>
    <s v="Check"/>
    <x v="14"/>
    <x v="9"/>
    <n v="19.5"/>
    <n v="27"/>
    <x v="125"/>
    <n v="51.070500000000003"/>
  </r>
  <r>
    <n v="1150"/>
    <x v="65"/>
    <x v="12"/>
    <x v="12"/>
    <s v="123 9th Street"/>
    <x v="11"/>
    <x v="11"/>
    <n v="99999"/>
    <s v="USA"/>
    <x v="7"/>
    <x v="0"/>
    <d v="2014-06-11T00:00:00"/>
    <s v="Shipping Company A"/>
    <s v="Sven Mortensen"/>
    <s v="123 9th Street"/>
    <x v="11"/>
    <s v="UT"/>
    <n v="99999"/>
    <s v="USA"/>
    <s v="Check"/>
    <x v="15"/>
    <x v="10"/>
    <n v="34.799999999999997"/>
    <n v="88"/>
    <x v="126"/>
    <n v="303.17759999999993"/>
  </r>
  <r>
    <n v="1151"/>
    <x v="66"/>
    <x v="6"/>
    <x v="6"/>
    <s v="123 6th Street"/>
    <x v="5"/>
    <x v="5"/>
    <n v="99999"/>
    <s v="USA"/>
    <x v="4"/>
    <x v="2"/>
    <d v="2014-06-08T00:00:00"/>
    <s v="Shipping Company B"/>
    <s v="Francisco Pérez-Olaeta"/>
    <s v="123 6th Street"/>
    <x v="5"/>
    <s v="WI"/>
    <n v="99999"/>
    <s v="USA"/>
    <s v="Credit Card"/>
    <x v="0"/>
    <x v="0"/>
    <n v="14"/>
    <n v="65"/>
    <x v="127"/>
    <n v="95.55"/>
  </r>
  <r>
    <n v="1152"/>
    <x v="67"/>
    <x v="3"/>
    <x v="3"/>
    <s v="123 8th Street"/>
    <x v="2"/>
    <x v="2"/>
    <n v="99999"/>
    <s v="USA"/>
    <x v="2"/>
    <x v="2"/>
    <d v="2014-06-10T00:00:00"/>
    <s v="Shipping Company B"/>
    <s v="Elizabeth Andersen"/>
    <s v="123 8th Street"/>
    <x v="2"/>
    <s v="OR"/>
    <n v="99999"/>
    <s v="USA"/>
    <s v="Check"/>
    <x v="9"/>
    <x v="5"/>
    <n v="40"/>
    <n v="38"/>
    <x v="128"/>
    <n v="148.96"/>
  </r>
  <r>
    <n v="1153"/>
    <x v="67"/>
    <x v="3"/>
    <x v="3"/>
    <s v="123 8th Street"/>
    <x v="2"/>
    <x v="2"/>
    <n v="99999"/>
    <s v="USA"/>
    <x v="2"/>
    <x v="2"/>
    <n v="41800"/>
    <s v="Shipping Company B"/>
    <s v="Elizabeth Andersen"/>
    <s v="123 8th Street"/>
    <x v="2"/>
    <s v="OR"/>
    <n v="99999"/>
    <s v="USA"/>
    <s v="Check"/>
    <x v="6"/>
    <x v="2"/>
    <n v="9.1999999999999993"/>
    <n v="80"/>
    <x v="129"/>
    <n v="70.656000000000006"/>
  </r>
  <r>
    <n v="1154"/>
    <x v="68"/>
    <x v="13"/>
    <x v="13"/>
    <s v="789 25th Street"/>
    <x v="7"/>
    <x v="7"/>
    <n v="99999"/>
    <s v="USA"/>
    <x v="6"/>
    <x v="1"/>
    <d v="2014-06-27T00:00:00"/>
    <s v="Shipping Company A"/>
    <s v="John Rodman"/>
    <s v="789 25th Street"/>
    <x v="7"/>
    <s v="IL"/>
    <n v="99999"/>
    <s v="USA"/>
    <s v="Cash"/>
    <x v="21"/>
    <x v="2"/>
    <n v="10"/>
    <n v="49"/>
    <x v="130"/>
    <n v="47.04"/>
  </r>
  <r>
    <n v="1155"/>
    <x v="69"/>
    <x v="14"/>
    <x v="14"/>
    <s v="789 26th Street"/>
    <x v="9"/>
    <x v="9"/>
    <n v="99999"/>
    <s v="USA"/>
    <x v="5"/>
    <x v="3"/>
    <d v="2014-06-28T00:00:00"/>
    <s v="Shipping Company C"/>
    <s v="Run Liu"/>
    <s v="789 26th Street"/>
    <x v="9"/>
    <s v="FL"/>
    <n v="99999"/>
    <s v="USA"/>
    <s v="Credit Card"/>
    <x v="22"/>
    <x v="13"/>
    <n v="21.35"/>
    <n v="90"/>
    <x v="131"/>
    <n v="186.38550000000004"/>
  </r>
  <r>
    <n v="1156"/>
    <x v="69"/>
    <x v="14"/>
    <x v="14"/>
    <s v="789 26th Street"/>
    <x v="9"/>
    <x v="9"/>
    <n v="99999"/>
    <s v="USA"/>
    <x v="5"/>
    <x v="3"/>
    <d v="2014-06-28T00:00:00"/>
    <s v="Shipping Company C"/>
    <s v="Run Liu"/>
    <s v="789 26th Street"/>
    <x v="9"/>
    <s v="FL"/>
    <n v="99999"/>
    <s v="USA"/>
    <s v="Credit Card"/>
    <x v="8"/>
    <x v="4"/>
    <n v="9.65"/>
    <n v="60"/>
    <x v="123"/>
    <n v="59.637000000000008"/>
  </r>
  <r>
    <n v="1157"/>
    <x v="69"/>
    <x v="14"/>
    <x v="14"/>
    <s v="789 26th Street"/>
    <x v="9"/>
    <x v="9"/>
    <n v="99999"/>
    <s v="USA"/>
    <x v="5"/>
    <x v="3"/>
    <n v="41818"/>
    <s v="Shipping Company C"/>
    <s v="Run Liu"/>
    <s v="789 26th Street"/>
    <x v="9"/>
    <s v="FL"/>
    <n v="99999"/>
    <s v="USA"/>
    <s v="Credit Card"/>
    <x v="13"/>
    <x v="8"/>
    <n v="18.399999999999999"/>
    <n v="39"/>
    <x v="132"/>
    <n v="71.759999999999991"/>
  </r>
  <r>
    <n v="1158"/>
    <x v="70"/>
    <x v="4"/>
    <x v="4"/>
    <s v="789 29th Street"/>
    <x v="3"/>
    <x v="3"/>
    <n v="99999"/>
    <s v="USA"/>
    <x v="3"/>
    <x v="0"/>
    <n v="41821"/>
    <s v="Shipping Company B"/>
    <s v="Soo Jung Lee"/>
    <s v="789 29th Street"/>
    <x v="3"/>
    <s v="CO"/>
    <n v="99999"/>
    <s v="USA"/>
    <s v="Check"/>
    <x v="0"/>
    <x v="0"/>
    <n v="14"/>
    <n v="79"/>
    <x v="133"/>
    <n v="113.91800000000001"/>
  </r>
  <r>
    <n v="1159"/>
    <x v="66"/>
    <x v="6"/>
    <x v="6"/>
    <s v="123 6th Street"/>
    <x v="5"/>
    <x v="5"/>
    <n v="99999"/>
    <s v="USA"/>
    <x v="4"/>
    <x v="2"/>
    <n v="41798"/>
    <s v="Shipping Company C"/>
    <s v="Francisco Pérez-Olaeta"/>
    <s v="123 6th Street"/>
    <x v="5"/>
    <s v="WI"/>
    <n v="99999"/>
    <s v="USA"/>
    <s v="Check"/>
    <x v="7"/>
    <x v="3"/>
    <n v="12.75"/>
    <n v="44"/>
    <x v="134"/>
    <n v="57.222000000000001"/>
  </r>
  <r>
    <n v="1161"/>
    <x v="71"/>
    <x v="1"/>
    <x v="1"/>
    <s v="123 4th Street"/>
    <x v="1"/>
    <x v="1"/>
    <n v="99999"/>
    <s v="USA"/>
    <x v="1"/>
    <x v="1"/>
    <n v="41796"/>
    <s v="Shipping Company A"/>
    <s v="Christina Lee"/>
    <s v="123 4th Street"/>
    <x v="1"/>
    <s v="NY"/>
    <n v="99999"/>
    <s v="USA"/>
    <s v="Credit Card"/>
    <x v="23"/>
    <x v="6"/>
    <n v="81"/>
    <n v="98"/>
    <x v="135"/>
    <n v="769.98599999999999"/>
  </r>
  <r>
    <n v="1162"/>
    <x v="71"/>
    <x v="1"/>
    <x v="1"/>
    <s v="123 4th Street"/>
    <x v="1"/>
    <x v="1"/>
    <n v="99999"/>
    <s v="USA"/>
    <x v="1"/>
    <x v="1"/>
    <n v="41796"/>
    <s v="Shipping Company A"/>
    <s v="Christina Lee"/>
    <s v="123 4th Street"/>
    <x v="1"/>
    <s v="NY"/>
    <n v="99999"/>
    <s v="USA"/>
    <s v="Credit Card"/>
    <x v="24"/>
    <x v="14"/>
    <n v="7"/>
    <n v="61"/>
    <x v="136"/>
    <n v="42.273000000000003"/>
  </r>
  <r>
    <n v="1164"/>
    <x v="67"/>
    <x v="3"/>
    <x v="3"/>
    <s v="123 8th Street"/>
    <x v="2"/>
    <x v="2"/>
    <n v="99999"/>
    <s v="USA"/>
    <x v="2"/>
    <x v="2"/>
    <d v="2014-06-10T00:00:00"/>
    <s v="Shipping Company C"/>
    <s v="Elizabeth Andersen"/>
    <s v="123 8th Street"/>
    <x v="2"/>
    <s v="OR"/>
    <n v="99999"/>
    <s v="USA"/>
    <s v="Credit Card"/>
    <x v="15"/>
    <x v="10"/>
    <n v="34.799999999999997"/>
    <n v="30"/>
    <x v="137"/>
    <n v="109.62"/>
  </r>
  <r>
    <n v="1167"/>
    <x v="72"/>
    <x v="5"/>
    <x v="5"/>
    <s v="123 3rd Street"/>
    <x v="4"/>
    <x v="4"/>
    <n v="99999"/>
    <s v="USA"/>
    <x v="0"/>
    <x v="0"/>
    <d v="2014-06-05T00:00:00"/>
    <s v="Shipping Company B"/>
    <s v="Thomas Axerr"/>
    <s v="123 3rd Street"/>
    <x v="4"/>
    <s v="CA"/>
    <n v="99999"/>
    <s v="USA"/>
    <s v="Cash"/>
    <x v="16"/>
    <x v="7"/>
    <n v="10"/>
    <n v="24"/>
    <x v="138"/>
    <n v="25.200000000000003"/>
  </r>
  <r>
    <n v="1168"/>
    <x v="72"/>
    <x v="5"/>
    <x v="5"/>
    <s v="123 3rd Street"/>
    <x v="4"/>
    <x v="4"/>
    <n v="99999"/>
    <s v="USA"/>
    <x v="0"/>
    <x v="0"/>
    <d v="2014-06-05T00:00:00"/>
    <s v="Shipping Company B"/>
    <s v="Thomas Axerr"/>
    <s v="123 3rd Street"/>
    <x v="4"/>
    <s v="CA"/>
    <n v="99999"/>
    <s v="USA"/>
    <s v="Cash"/>
    <x v="9"/>
    <x v="5"/>
    <n v="40"/>
    <n v="28"/>
    <x v="139"/>
    <n v="109.75999999999999"/>
  </r>
  <r>
    <n v="1172"/>
    <x v="61"/>
    <x v="8"/>
    <x v="8"/>
    <s v="123 10th Street"/>
    <x v="7"/>
    <x v="7"/>
    <n v="99999"/>
    <s v="USA"/>
    <x v="6"/>
    <x v="1"/>
    <d v="2014-06-12T00:00:00"/>
    <s v="Shipping Company B"/>
    <s v="Roland Wacker"/>
    <s v="123 10th Street"/>
    <x v="7"/>
    <s v="IL"/>
    <n v="99999"/>
    <s v="USA"/>
    <s v="Credit Card"/>
    <x v="18"/>
    <x v="1"/>
    <n v="10"/>
    <n v="74"/>
    <x v="140"/>
    <n v="71.78"/>
  </r>
  <r>
    <n v="1174"/>
    <x v="61"/>
    <x v="8"/>
    <x v="8"/>
    <s v="123 10th Street"/>
    <x v="7"/>
    <x v="7"/>
    <n v="99999"/>
    <s v="USA"/>
    <x v="6"/>
    <x v="1"/>
    <m/>
    <s v="Shipping Company A"/>
    <s v="Roland Wacker"/>
    <s v="123 10th Street"/>
    <x v="7"/>
    <s v="IL"/>
    <n v="99999"/>
    <s v="USA"/>
    <m/>
    <x v="1"/>
    <x v="1"/>
    <n v="3.5"/>
    <n v="90"/>
    <x v="141"/>
    <n v="30.24"/>
  </r>
  <r>
    <n v="1175"/>
    <x v="62"/>
    <x v="10"/>
    <x v="10"/>
    <s v="123 11th Street"/>
    <x v="9"/>
    <x v="9"/>
    <n v="99999"/>
    <s v="USA"/>
    <x v="5"/>
    <x v="3"/>
    <m/>
    <s v="Shipping Company C"/>
    <s v="Peter Krschne"/>
    <s v="123 11th Street"/>
    <x v="9"/>
    <s v="FL"/>
    <n v="99999"/>
    <s v="USA"/>
    <m/>
    <x v="9"/>
    <x v="5"/>
    <n v="40"/>
    <n v="27"/>
    <x v="142"/>
    <n v="111.24000000000001"/>
  </r>
  <r>
    <n v="1176"/>
    <x v="63"/>
    <x v="11"/>
    <x v="11"/>
    <s v="123 1st Street"/>
    <x v="10"/>
    <x v="10"/>
    <n v="99999"/>
    <s v="USA"/>
    <x v="2"/>
    <x v="2"/>
    <m/>
    <s v="Shipping Company C"/>
    <s v="Anna Bedecs"/>
    <s v="123 1st Street"/>
    <x v="10"/>
    <s v="WA"/>
    <n v="99999"/>
    <s v="USA"/>
    <m/>
    <x v="13"/>
    <x v="8"/>
    <n v="18.399999999999999"/>
    <n v="71"/>
    <x v="143"/>
    <n v="137.172"/>
  </r>
  <r>
    <n v="1177"/>
    <x v="64"/>
    <x v="7"/>
    <x v="7"/>
    <s v="789 28th Street"/>
    <x v="6"/>
    <x v="6"/>
    <n v="99999"/>
    <s v="USA"/>
    <x v="5"/>
    <x v="3"/>
    <d v="2014-06-30T00:00:00"/>
    <s v="Shipping Company C"/>
    <s v="Amritansh Raghav"/>
    <s v="789 28th Street"/>
    <x v="6"/>
    <s v="TN"/>
    <n v="99999"/>
    <s v="USA"/>
    <s v="Credit Card"/>
    <x v="5"/>
    <x v="0"/>
    <n v="46"/>
    <n v="74"/>
    <x v="144"/>
    <n v="340.40000000000003"/>
  </r>
  <r>
    <n v="1178"/>
    <x v="65"/>
    <x v="12"/>
    <x v="12"/>
    <s v="123 9th Street"/>
    <x v="11"/>
    <x v="11"/>
    <n v="99999"/>
    <s v="USA"/>
    <x v="7"/>
    <x v="0"/>
    <d v="2014-06-11T00:00:00"/>
    <s v="Shipping Company A"/>
    <s v="Sven Mortensen"/>
    <s v="123 9th Street"/>
    <x v="11"/>
    <s v="UT"/>
    <n v="99999"/>
    <s v="USA"/>
    <s v="Check"/>
    <x v="8"/>
    <x v="4"/>
    <n v="9.65"/>
    <n v="76"/>
    <x v="145"/>
    <n v="72.6066"/>
  </r>
  <r>
    <n v="1179"/>
    <x v="66"/>
    <x v="6"/>
    <x v="6"/>
    <s v="123 6th Street"/>
    <x v="5"/>
    <x v="5"/>
    <n v="99999"/>
    <s v="USA"/>
    <x v="4"/>
    <x v="2"/>
    <d v="2014-06-08T00:00:00"/>
    <s v="Shipping Company B"/>
    <s v="Francisco Pérez-Olaeta"/>
    <s v="123 6th Street"/>
    <x v="5"/>
    <s v="WI"/>
    <n v="99999"/>
    <s v="USA"/>
    <s v="Credit Card"/>
    <x v="7"/>
    <x v="3"/>
    <n v="12.75"/>
    <n v="96"/>
    <x v="146"/>
    <n v="123.62400000000001"/>
  </r>
  <r>
    <n v="1180"/>
    <x v="67"/>
    <x v="3"/>
    <x v="3"/>
    <s v="123 8th Street"/>
    <x v="2"/>
    <x v="2"/>
    <n v="99999"/>
    <s v="USA"/>
    <x v="2"/>
    <x v="2"/>
    <d v="2014-06-10T00:00:00"/>
    <s v="Shipping Company B"/>
    <s v="Elizabeth Andersen"/>
    <s v="123 8th Street"/>
    <x v="2"/>
    <s v="OR"/>
    <n v="99999"/>
    <s v="USA"/>
    <s v="Check"/>
    <x v="7"/>
    <x v="3"/>
    <n v="12.75"/>
    <n v="92"/>
    <x v="147"/>
    <n v="116.12700000000001"/>
  </r>
  <r>
    <n v="1181"/>
    <x v="68"/>
    <x v="13"/>
    <x v="13"/>
    <s v="789 25th Street"/>
    <x v="7"/>
    <x v="7"/>
    <n v="99999"/>
    <s v="USA"/>
    <x v="6"/>
    <x v="1"/>
    <d v="2014-06-27T00:00:00"/>
    <s v="Shipping Company A"/>
    <s v="John Rodman"/>
    <s v="789 25th Street"/>
    <x v="7"/>
    <s v="IL"/>
    <n v="99999"/>
    <s v="USA"/>
    <s v="Cash"/>
    <x v="12"/>
    <x v="7"/>
    <n v="22"/>
    <n v="93"/>
    <x v="148"/>
    <n v="200.50800000000001"/>
  </r>
  <r>
    <n v="1182"/>
    <x v="69"/>
    <x v="14"/>
    <x v="14"/>
    <s v="789 26th Street"/>
    <x v="9"/>
    <x v="9"/>
    <n v="99999"/>
    <s v="USA"/>
    <x v="5"/>
    <x v="3"/>
    <d v="2014-06-28T00:00:00"/>
    <s v="Shipping Company C"/>
    <s v="Run Liu"/>
    <s v="789 26th Street"/>
    <x v="9"/>
    <s v="FL"/>
    <n v="99999"/>
    <s v="USA"/>
    <s v="Credit Card"/>
    <x v="11"/>
    <x v="6"/>
    <n v="25"/>
    <n v="18"/>
    <x v="149"/>
    <n v="42.75"/>
  </r>
  <r>
    <n v="1183"/>
    <x v="70"/>
    <x v="4"/>
    <x v="4"/>
    <s v="789 29th Street"/>
    <x v="3"/>
    <x v="3"/>
    <n v="99999"/>
    <s v="USA"/>
    <x v="3"/>
    <x v="0"/>
    <d v="2014-07-01T00:00:00"/>
    <s v="Shipping Company B"/>
    <s v="Soo Jung Lee"/>
    <s v="789 29th Street"/>
    <x v="3"/>
    <s v="CO"/>
    <n v="99999"/>
    <s v="USA"/>
    <s v="Check"/>
    <x v="19"/>
    <x v="12"/>
    <n v="39"/>
    <n v="98"/>
    <x v="150"/>
    <n v="397.48800000000006"/>
  </r>
  <r>
    <n v="1184"/>
    <x v="66"/>
    <x v="6"/>
    <x v="6"/>
    <s v="123 6th Street"/>
    <x v="5"/>
    <x v="5"/>
    <n v="99999"/>
    <s v="USA"/>
    <x v="4"/>
    <x v="2"/>
    <d v="2014-06-08T00:00:00"/>
    <s v="Shipping Company C"/>
    <s v="Francisco Pérez-Olaeta"/>
    <s v="123 6th Street"/>
    <x v="5"/>
    <s v="WI"/>
    <n v="99999"/>
    <s v="USA"/>
    <s v="Check"/>
    <x v="2"/>
    <x v="1"/>
    <n v="30"/>
    <n v="46"/>
    <x v="65"/>
    <n v="135.24"/>
  </r>
  <r>
    <n v="1185"/>
    <x v="66"/>
    <x v="6"/>
    <x v="6"/>
    <s v="123 6th Street"/>
    <x v="5"/>
    <x v="5"/>
    <n v="99999"/>
    <s v="USA"/>
    <x v="4"/>
    <x v="2"/>
    <d v="2014-06-08T00:00:00"/>
    <s v="Shipping Company C"/>
    <s v="Francisco Pérez-Olaeta"/>
    <s v="123 6th Street"/>
    <x v="5"/>
    <s v="WI"/>
    <n v="99999"/>
    <s v="USA"/>
    <s v="Check"/>
    <x v="3"/>
    <x v="1"/>
    <n v="53"/>
    <n v="14"/>
    <x v="48"/>
    <n v="74.2"/>
  </r>
  <r>
    <n v="1186"/>
    <x v="71"/>
    <x v="1"/>
    <x v="1"/>
    <s v="123 4th Street"/>
    <x v="1"/>
    <x v="1"/>
    <n v="99999"/>
    <s v="USA"/>
    <x v="1"/>
    <x v="1"/>
    <m/>
    <m/>
    <s v="Christina Lee"/>
    <s v="123 4th Street"/>
    <x v="1"/>
    <s v="NY"/>
    <n v="99999"/>
    <s v="USA"/>
    <m/>
    <x v="20"/>
    <x v="9"/>
    <n v="38"/>
    <n v="85"/>
    <x v="151"/>
    <n v="319.77"/>
  </r>
  <r>
    <n v="1187"/>
    <x v="72"/>
    <x v="5"/>
    <x v="5"/>
    <s v="123 3rd Street"/>
    <x v="4"/>
    <x v="4"/>
    <n v="99999"/>
    <s v="USA"/>
    <x v="0"/>
    <x v="0"/>
    <m/>
    <m/>
    <s v="Thomas Axerr"/>
    <s v="123 3rd Street"/>
    <x v="4"/>
    <s v="CA"/>
    <n v="99999"/>
    <s v="USA"/>
    <m/>
    <x v="10"/>
    <x v="0"/>
    <n v="2.99"/>
    <n v="88"/>
    <x v="76"/>
    <n v="25.522639999999999"/>
  </r>
  <r>
    <n v="1188"/>
    <x v="73"/>
    <x v="11"/>
    <x v="11"/>
    <s v="123 1st Street"/>
    <x v="10"/>
    <x v="10"/>
    <n v="99999"/>
    <s v="USA"/>
    <x v="2"/>
    <x v="2"/>
    <m/>
    <m/>
    <s v="Anna Bedecs"/>
    <s v="123 1st Street"/>
    <x v="10"/>
    <s v="WA"/>
    <n v="99999"/>
    <s v="USA"/>
    <m/>
    <x v="10"/>
    <x v="0"/>
    <n v="2.99"/>
    <n v="81"/>
    <x v="152"/>
    <n v="23.976810000000004"/>
  </r>
  <r>
    <n v="1189"/>
    <x v="74"/>
    <x v="7"/>
    <x v="7"/>
    <s v="789 28th Street"/>
    <x v="6"/>
    <x v="6"/>
    <n v="99999"/>
    <s v="USA"/>
    <x v="5"/>
    <x v="3"/>
    <d v="2014-07-30T00:00:00"/>
    <s v="Shipping Company C"/>
    <s v="Amritansh Raghav"/>
    <s v="789 28th Street"/>
    <x v="6"/>
    <s v="TN"/>
    <n v="99999"/>
    <s v="USA"/>
    <s v="Credit Card"/>
    <x v="8"/>
    <x v="4"/>
    <n v="9.65"/>
    <n v="33"/>
    <x v="153"/>
    <n v="30.252749999999999"/>
  </r>
  <r>
    <n v="1190"/>
    <x v="74"/>
    <x v="7"/>
    <x v="7"/>
    <s v="789 28th Street"/>
    <x v="6"/>
    <x v="6"/>
    <n v="99999"/>
    <s v="USA"/>
    <x v="5"/>
    <x v="3"/>
    <d v="2014-07-30T00:00:00"/>
    <s v="Shipping Company C"/>
    <s v="Amritansh Raghav"/>
    <s v="789 28th Street"/>
    <x v="6"/>
    <s v="TN"/>
    <n v="99999"/>
    <s v="USA"/>
    <s v="Credit Card"/>
    <x v="13"/>
    <x v="8"/>
    <n v="18.399999999999999"/>
    <n v="47"/>
    <x v="154"/>
    <n v="90.804000000000002"/>
  </r>
  <r>
    <n v="1191"/>
    <x v="75"/>
    <x v="12"/>
    <x v="12"/>
    <s v="123 9th Street"/>
    <x v="11"/>
    <x v="11"/>
    <n v="99999"/>
    <s v="USA"/>
    <x v="7"/>
    <x v="0"/>
    <d v="2014-07-11T00:00:00"/>
    <s v="Shipping Company A"/>
    <s v="Sven Mortensen"/>
    <s v="123 9th Street"/>
    <x v="11"/>
    <s v="UT"/>
    <n v="99999"/>
    <s v="USA"/>
    <s v="Check"/>
    <x v="14"/>
    <x v="9"/>
    <n v="19.5"/>
    <n v="61"/>
    <x v="155"/>
    <n v="123.70800000000001"/>
  </r>
  <r>
    <n v="1192"/>
    <x v="75"/>
    <x v="12"/>
    <x v="12"/>
    <s v="123 9th Street"/>
    <x v="11"/>
    <x v="11"/>
    <n v="99999"/>
    <s v="USA"/>
    <x v="7"/>
    <x v="0"/>
    <d v="2014-07-11T00:00:00"/>
    <s v="Shipping Company A"/>
    <s v="Sven Mortensen"/>
    <s v="123 9th Street"/>
    <x v="11"/>
    <s v="UT"/>
    <n v="99999"/>
    <s v="USA"/>
    <s v="Check"/>
    <x v="15"/>
    <x v="10"/>
    <n v="34.799999999999997"/>
    <n v="27"/>
    <x v="156"/>
    <n v="95.839199999999991"/>
  </r>
  <r>
    <n v="1193"/>
    <x v="76"/>
    <x v="6"/>
    <x v="6"/>
    <s v="123 6th Street"/>
    <x v="5"/>
    <x v="5"/>
    <n v="99999"/>
    <s v="USA"/>
    <x v="4"/>
    <x v="2"/>
    <d v="2014-07-08T00:00:00"/>
    <s v="Shipping Company B"/>
    <s v="Francisco Pérez-Olaeta"/>
    <s v="123 6th Street"/>
    <x v="5"/>
    <s v="WI"/>
    <n v="99999"/>
    <s v="USA"/>
    <s v="Credit Card"/>
    <x v="0"/>
    <x v="0"/>
    <n v="14"/>
    <n v="84"/>
    <x v="102"/>
    <n v="118.77600000000001"/>
  </r>
  <r>
    <n v="1194"/>
    <x v="77"/>
    <x v="3"/>
    <x v="3"/>
    <s v="123 8th Street"/>
    <x v="2"/>
    <x v="2"/>
    <n v="99999"/>
    <s v="USA"/>
    <x v="2"/>
    <x v="2"/>
    <d v="2014-07-10T00:00:00"/>
    <s v="Shipping Company B"/>
    <s v="Elizabeth Andersen"/>
    <s v="123 8th Street"/>
    <x v="2"/>
    <s v="OR"/>
    <n v="99999"/>
    <s v="USA"/>
    <s v="Check"/>
    <x v="9"/>
    <x v="5"/>
    <n v="40"/>
    <n v="91"/>
    <x v="157"/>
    <n v="360.36"/>
  </r>
  <r>
    <n v="1195"/>
    <x v="77"/>
    <x v="3"/>
    <x v="3"/>
    <s v="123 8th Street"/>
    <x v="2"/>
    <x v="2"/>
    <n v="99999"/>
    <s v="USA"/>
    <x v="2"/>
    <x v="2"/>
    <d v="2014-07-10T00:00:00"/>
    <s v="Shipping Company B"/>
    <s v="Elizabeth Andersen"/>
    <s v="123 8th Street"/>
    <x v="2"/>
    <s v="OR"/>
    <n v="99999"/>
    <s v="USA"/>
    <s v="Check"/>
    <x v="6"/>
    <x v="2"/>
    <n v="9.1999999999999993"/>
    <n v="36"/>
    <x v="158"/>
    <n v="34.444800000000001"/>
  </r>
  <r>
    <n v="1196"/>
    <x v="78"/>
    <x v="13"/>
    <x v="13"/>
    <s v="789 25th Street"/>
    <x v="7"/>
    <x v="7"/>
    <n v="99999"/>
    <s v="USA"/>
    <x v="6"/>
    <x v="1"/>
    <n v="41847"/>
    <s v="Shipping Company A"/>
    <s v="John Rodman"/>
    <s v="789 25th Street"/>
    <x v="7"/>
    <s v="IL"/>
    <n v="99999"/>
    <s v="USA"/>
    <s v="Cash"/>
    <x v="21"/>
    <x v="2"/>
    <n v="10"/>
    <n v="34"/>
    <x v="159"/>
    <n v="34.340000000000003"/>
  </r>
  <r>
    <n v="1197"/>
    <x v="79"/>
    <x v="14"/>
    <x v="14"/>
    <s v="789 26th Street"/>
    <x v="9"/>
    <x v="9"/>
    <n v="99999"/>
    <s v="USA"/>
    <x v="5"/>
    <x v="3"/>
    <n v="41848"/>
    <s v="Shipping Company C"/>
    <s v="Run Liu"/>
    <s v="789 26th Street"/>
    <x v="9"/>
    <s v="FL"/>
    <n v="99999"/>
    <s v="USA"/>
    <s v="Credit Card"/>
    <x v="22"/>
    <x v="13"/>
    <n v="21.35"/>
    <n v="81"/>
    <x v="160"/>
    <n v="178.12305000000003"/>
  </r>
  <r>
    <n v="1198"/>
    <x v="79"/>
    <x v="14"/>
    <x v="14"/>
    <s v="789 26th Street"/>
    <x v="9"/>
    <x v="9"/>
    <n v="99999"/>
    <s v="USA"/>
    <x v="5"/>
    <x v="3"/>
    <n v="41848"/>
    <s v="Shipping Company C"/>
    <s v="Run Liu"/>
    <s v="789 26th Street"/>
    <x v="9"/>
    <s v="FL"/>
    <n v="99999"/>
    <s v="USA"/>
    <s v="Credit Card"/>
    <x v="8"/>
    <x v="4"/>
    <n v="9.65"/>
    <n v="25"/>
    <x v="161"/>
    <n v="23.401250000000001"/>
  </r>
  <r>
    <n v="1199"/>
    <x v="79"/>
    <x v="14"/>
    <x v="14"/>
    <s v="789 26th Street"/>
    <x v="9"/>
    <x v="9"/>
    <n v="99999"/>
    <s v="USA"/>
    <x v="5"/>
    <x v="3"/>
    <n v="41848"/>
    <s v="Shipping Company C"/>
    <s v="Run Liu"/>
    <s v="789 26th Street"/>
    <x v="9"/>
    <s v="FL"/>
    <n v="99999"/>
    <s v="USA"/>
    <s v="Credit Card"/>
    <x v="13"/>
    <x v="8"/>
    <n v="18.399999999999999"/>
    <n v="12"/>
    <x v="162"/>
    <n v="22.08"/>
  </r>
  <r>
    <n v="1200"/>
    <x v="80"/>
    <x v="4"/>
    <x v="4"/>
    <s v="789 29th Street"/>
    <x v="3"/>
    <x v="3"/>
    <n v="99999"/>
    <s v="USA"/>
    <x v="3"/>
    <x v="0"/>
    <d v="2014-07-31T00:00:00"/>
    <s v="Shipping Company B"/>
    <s v="Soo Jung Lee"/>
    <s v="789 29th Street"/>
    <x v="3"/>
    <s v="CO"/>
    <n v="99999"/>
    <s v="USA"/>
    <s v="Check"/>
    <x v="0"/>
    <x v="0"/>
    <n v="14"/>
    <n v="23"/>
    <x v="163"/>
    <n v="30.912000000000003"/>
  </r>
  <r>
    <n v="1201"/>
    <x v="76"/>
    <x v="6"/>
    <x v="6"/>
    <s v="123 6th Street"/>
    <x v="5"/>
    <x v="5"/>
    <n v="99999"/>
    <s v="USA"/>
    <x v="4"/>
    <x v="2"/>
    <d v="2014-07-08T00:00:00"/>
    <s v="Shipping Company C"/>
    <s v="Francisco Pérez-Olaeta"/>
    <s v="123 6th Street"/>
    <x v="5"/>
    <s v="WI"/>
    <n v="99999"/>
    <s v="USA"/>
    <s v="Check"/>
    <x v="7"/>
    <x v="3"/>
    <n v="12.75"/>
    <n v="76"/>
    <x v="164"/>
    <n v="97.869"/>
  </r>
  <r>
    <n v="1203"/>
    <x v="81"/>
    <x v="1"/>
    <x v="1"/>
    <s v="123 4th Street"/>
    <x v="1"/>
    <x v="1"/>
    <n v="99999"/>
    <s v="USA"/>
    <x v="1"/>
    <x v="1"/>
    <d v="2014-07-06T00:00:00"/>
    <s v="Shipping Company A"/>
    <s v="Christina Lee"/>
    <s v="123 4th Street"/>
    <x v="1"/>
    <s v="NY"/>
    <n v="99999"/>
    <s v="USA"/>
    <s v="Credit Card"/>
    <x v="23"/>
    <x v="6"/>
    <n v="81"/>
    <n v="55"/>
    <x v="165"/>
    <n v="445.5"/>
  </r>
  <r>
    <n v="1204"/>
    <x v="81"/>
    <x v="1"/>
    <x v="1"/>
    <s v="123 4th Street"/>
    <x v="1"/>
    <x v="1"/>
    <n v="99999"/>
    <s v="USA"/>
    <x v="1"/>
    <x v="1"/>
    <d v="2014-07-06T00:00:00"/>
    <s v="Shipping Company A"/>
    <s v="Christina Lee"/>
    <s v="123 4th Street"/>
    <x v="1"/>
    <s v="NY"/>
    <n v="99999"/>
    <s v="USA"/>
    <s v="Credit Card"/>
    <x v="24"/>
    <x v="14"/>
    <n v="7"/>
    <n v="19"/>
    <x v="166"/>
    <n v="12.901"/>
  </r>
  <r>
    <n v="1206"/>
    <x v="77"/>
    <x v="3"/>
    <x v="3"/>
    <s v="123 8th Street"/>
    <x v="2"/>
    <x v="2"/>
    <n v="99999"/>
    <s v="USA"/>
    <x v="2"/>
    <x v="2"/>
    <d v="2014-07-10T00:00:00"/>
    <s v="Shipping Company C"/>
    <s v="Elizabeth Andersen"/>
    <s v="123 8th Street"/>
    <x v="2"/>
    <s v="OR"/>
    <n v="99999"/>
    <s v="USA"/>
    <s v="Credit Card"/>
    <x v="15"/>
    <x v="10"/>
    <n v="34.799999999999997"/>
    <n v="27"/>
    <x v="156"/>
    <n v="89.261999999999986"/>
  </r>
  <r>
    <n v="1209"/>
    <x v="82"/>
    <x v="5"/>
    <x v="5"/>
    <s v="123 3rd Street"/>
    <x v="4"/>
    <x v="4"/>
    <n v="99999"/>
    <s v="USA"/>
    <x v="0"/>
    <x v="0"/>
    <d v="2014-07-05T00:00:00"/>
    <s v="Shipping Company B"/>
    <s v="Thomas Axerr"/>
    <s v="123 3rd Street"/>
    <x v="4"/>
    <s v="CA"/>
    <n v="99999"/>
    <s v="USA"/>
    <s v="Cash"/>
    <x v="16"/>
    <x v="7"/>
    <n v="10"/>
    <n v="99"/>
    <x v="82"/>
    <n v="95.039999999999992"/>
  </r>
  <r>
    <n v="1210"/>
    <x v="82"/>
    <x v="5"/>
    <x v="5"/>
    <s v="123 3rd Street"/>
    <x v="4"/>
    <x v="4"/>
    <n v="99999"/>
    <s v="USA"/>
    <x v="0"/>
    <x v="0"/>
    <d v="2014-07-05T00:00:00"/>
    <s v="Shipping Company B"/>
    <s v="Thomas Axerr"/>
    <s v="123 3rd Street"/>
    <x v="4"/>
    <s v="CA"/>
    <n v="99999"/>
    <s v="USA"/>
    <s v="Cash"/>
    <x v="9"/>
    <x v="5"/>
    <n v="40"/>
    <n v="10"/>
    <x v="167"/>
    <n v="40"/>
  </r>
  <r>
    <n v="1214"/>
    <x v="83"/>
    <x v="8"/>
    <x v="8"/>
    <s v="123 10th Street"/>
    <x v="7"/>
    <x v="7"/>
    <n v="99999"/>
    <s v="USA"/>
    <x v="6"/>
    <x v="1"/>
    <d v="2014-07-12T00:00:00"/>
    <s v="Shipping Company B"/>
    <s v="Roland Wacker"/>
    <s v="123 10th Street"/>
    <x v="7"/>
    <s v="IL"/>
    <n v="99999"/>
    <s v="USA"/>
    <s v="Credit Card"/>
    <x v="18"/>
    <x v="1"/>
    <n v="10"/>
    <n v="80"/>
    <x v="168"/>
    <n v="77.599999999999994"/>
  </r>
  <r>
    <n v="1216"/>
    <x v="83"/>
    <x v="8"/>
    <x v="8"/>
    <s v="123 10th Street"/>
    <x v="7"/>
    <x v="7"/>
    <n v="99999"/>
    <s v="USA"/>
    <x v="6"/>
    <x v="1"/>
    <m/>
    <s v="Shipping Company A"/>
    <s v="Roland Wacker"/>
    <s v="123 10th Street"/>
    <x v="7"/>
    <s v="IL"/>
    <n v="99999"/>
    <s v="USA"/>
    <m/>
    <x v="1"/>
    <x v="1"/>
    <n v="3.5"/>
    <n v="27"/>
    <x v="169"/>
    <n v="9.072000000000001"/>
  </r>
  <r>
    <n v="1217"/>
    <x v="84"/>
    <x v="10"/>
    <x v="10"/>
    <s v="123 11th Street"/>
    <x v="9"/>
    <x v="9"/>
    <n v="99999"/>
    <s v="USA"/>
    <x v="5"/>
    <x v="3"/>
    <m/>
    <s v="Shipping Company C"/>
    <s v="Peter Krschne"/>
    <s v="123 11th Street"/>
    <x v="9"/>
    <s v="FL"/>
    <n v="99999"/>
    <s v="USA"/>
    <m/>
    <x v="9"/>
    <x v="5"/>
    <n v="40"/>
    <n v="97"/>
    <x v="170"/>
    <n v="380.24"/>
  </r>
  <r>
    <n v="1218"/>
    <x v="73"/>
    <x v="11"/>
    <x v="11"/>
    <s v="123 1st Street"/>
    <x v="10"/>
    <x v="10"/>
    <n v="99999"/>
    <s v="USA"/>
    <x v="2"/>
    <x v="2"/>
    <m/>
    <s v="Shipping Company C"/>
    <s v="Anna Bedecs"/>
    <s v="123 1st Street"/>
    <x v="10"/>
    <s v="WA"/>
    <n v="99999"/>
    <s v="USA"/>
    <m/>
    <x v="13"/>
    <x v="8"/>
    <n v="18.399999999999999"/>
    <n v="42"/>
    <x v="171"/>
    <n v="80.371200000000002"/>
  </r>
  <r>
    <n v="1219"/>
    <x v="74"/>
    <x v="7"/>
    <x v="7"/>
    <s v="789 28th Street"/>
    <x v="6"/>
    <x v="6"/>
    <n v="99999"/>
    <s v="USA"/>
    <x v="5"/>
    <x v="3"/>
    <n v="41850"/>
    <s v="Shipping Company C"/>
    <s v="Amritansh Raghav"/>
    <s v="789 28th Street"/>
    <x v="6"/>
    <s v="TN"/>
    <n v="99999"/>
    <s v="USA"/>
    <s v="Credit Card"/>
    <x v="5"/>
    <x v="0"/>
    <n v="46"/>
    <n v="24"/>
    <x v="15"/>
    <n v="105.98399999999999"/>
  </r>
  <r>
    <n v="1220"/>
    <x v="75"/>
    <x v="12"/>
    <x v="12"/>
    <s v="123 9th Street"/>
    <x v="11"/>
    <x v="11"/>
    <n v="99999"/>
    <s v="USA"/>
    <x v="7"/>
    <x v="0"/>
    <d v="2014-07-11T00:00:00"/>
    <s v="Shipping Company A"/>
    <s v="Sven Mortensen"/>
    <s v="123 9th Street"/>
    <x v="11"/>
    <s v="UT"/>
    <n v="99999"/>
    <s v="USA"/>
    <s v="Check"/>
    <x v="8"/>
    <x v="4"/>
    <n v="9.65"/>
    <n v="90"/>
    <x v="172"/>
    <n v="83.376000000000005"/>
  </r>
  <r>
    <n v="1221"/>
    <x v="76"/>
    <x v="6"/>
    <x v="6"/>
    <s v="123 6th Street"/>
    <x v="5"/>
    <x v="5"/>
    <n v="99999"/>
    <s v="USA"/>
    <x v="4"/>
    <x v="2"/>
    <d v="2014-07-08T00:00:00"/>
    <s v="Shipping Company B"/>
    <s v="Francisco Pérez-Olaeta"/>
    <s v="123 6th Street"/>
    <x v="5"/>
    <s v="WI"/>
    <n v="99999"/>
    <s v="USA"/>
    <s v="Credit Card"/>
    <x v="7"/>
    <x v="3"/>
    <n v="12.75"/>
    <n v="28"/>
    <x v="173"/>
    <n v="35.700000000000003"/>
  </r>
  <r>
    <n v="1222"/>
    <x v="85"/>
    <x v="7"/>
    <x v="7"/>
    <s v="789 28th Street"/>
    <x v="6"/>
    <x v="6"/>
    <n v="99999"/>
    <s v="USA"/>
    <x v="5"/>
    <x v="3"/>
    <d v="2014-08-30T00:00:00"/>
    <s v="Shipping Company C"/>
    <s v="Amritansh Raghav"/>
    <s v="789 28th Street"/>
    <x v="6"/>
    <s v="TN"/>
    <n v="99999"/>
    <s v="USA"/>
    <s v="Check"/>
    <x v="5"/>
    <x v="0"/>
    <n v="46"/>
    <n v="28"/>
    <x v="174"/>
    <n v="133.95200000000003"/>
  </r>
  <r>
    <n v="1223"/>
    <x v="86"/>
    <x v="3"/>
    <x v="3"/>
    <s v="123 8th Street"/>
    <x v="2"/>
    <x v="2"/>
    <n v="99999"/>
    <s v="USA"/>
    <x v="2"/>
    <x v="2"/>
    <d v="2014-08-10T00:00:00"/>
    <s v="Shipping Company C"/>
    <s v="Elizabeth Andersen"/>
    <s v="123 8th Street"/>
    <x v="2"/>
    <s v="OR"/>
    <n v="99999"/>
    <s v="USA"/>
    <s v="Check"/>
    <x v="7"/>
    <x v="3"/>
    <n v="12.75"/>
    <n v="57"/>
    <x v="175"/>
    <n v="69.768000000000001"/>
  </r>
  <r>
    <n v="1224"/>
    <x v="87"/>
    <x v="8"/>
    <x v="8"/>
    <s v="123 10th Street"/>
    <x v="7"/>
    <x v="7"/>
    <n v="99999"/>
    <s v="USA"/>
    <x v="6"/>
    <x v="1"/>
    <d v="2014-08-12T00:00:00"/>
    <s v="Shipping Company B"/>
    <s v="Roland Wacker"/>
    <s v="123 10th Street"/>
    <x v="7"/>
    <s v="IL"/>
    <n v="99999"/>
    <s v="USA"/>
    <s v="Credit Card"/>
    <x v="10"/>
    <x v="0"/>
    <n v="2.99"/>
    <n v="23"/>
    <x v="176"/>
    <n v="6.6706900000000013"/>
  </r>
  <r>
    <n v="1225"/>
    <x v="88"/>
    <x v="9"/>
    <x v="9"/>
    <s v="123 7th Street"/>
    <x v="8"/>
    <x v="8"/>
    <n v="99999"/>
    <s v="USA"/>
    <x v="2"/>
    <x v="2"/>
    <m/>
    <m/>
    <s v="Ming-Yang Xie"/>
    <s v="123 7th Street"/>
    <x v="8"/>
    <s v="ID"/>
    <n v="99999"/>
    <s v="USA"/>
    <m/>
    <x v="5"/>
    <x v="0"/>
    <n v="46"/>
    <n v="86"/>
    <x v="177"/>
    <n v="399.55600000000004"/>
  </r>
  <r>
    <n v="1226"/>
    <x v="87"/>
    <x v="8"/>
    <x v="8"/>
    <s v="123 10th Street"/>
    <x v="7"/>
    <x v="7"/>
    <n v="99999"/>
    <s v="USA"/>
    <x v="6"/>
    <x v="1"/>
    <d v="2014-08-12T00:00:00"/>
    <s v="Shipping Company A"/>
    <s v="Roland Wacker"/>
    <s v="123 10th Street"/>
    <x v="7"/>
    <s v="IL"/>
    <n v="99999"/>
    <s v="USA"/>
    <m/>
    <x v="11"/>
    <x v="6"/>
    <n v="25"/>
    <n v="47"/>
    <x v="178"/>
    <n v="116.325"/>
  </r>
  <r>
    <n v="1227"/>
    <x v="87"/>
    <x v="8"/>
    <x v="8"/>
    <s v="123 10th Street"/>
    <x v="7"/>
    <x v="7"/>
    <n v="99999"/>
    <s v="USA"/>
    <x v="6"/>
    <x v="1"/>
    <d v="2014-08-12T00:00:00"/>
    <s v="Shipping Company A"/>
    <s v="Roland Wacker"/>
    <s v="123 10th Street"/>
    <x v="7"/>
    <s v="IL"/>
    <n v="99999"/>
    <s v="USA"/>
    <m/>
    <x v="12"/>
    <x v="7"/>
    <n v="22"/>
    <n v="97"/>
    <x v="179"/>
    <n v="221.93600000000001"/>
  </r>
  <r>
    <n v="1228"/>
    <x v="87"/>
    <x v="8"/>
    <x v="8"/>
    <s v="123 10th Street"/>
    <x v="7"/>
    <x v="7"/>
    <n v="99999"/>
    <s v="USA"/>
    <x v="6"/>
    <x v="1"/>
    <d v="2014-08-12T00:00:00"/>
    <s v="Shipping Company A"/>
    <s v="Roland Wacker"/>
    <s v="123 10th Street"/>
    <x v="7"/>
    <s v="IL"/>
    <n v="99999"/>
    <s v="USA"/>
    <m/>
    <x v="6"/>
    <x v="2"/>
    <n v="9.1999999999999993"/>
    <n v="96"/>
    <x v="180"/>
    <n v="86.553599999999989"/>
  </r>
  <r>
    <n v="1229"/>
    <x v="89"/>
    <x v="10"/>
    <x v="10"/>
    <s v="123 11th Street"/>
    <x v="9"/>
    <x v="9"/>
    <n v="99999"/>
    <s v="USA"/>
    <x v="5"/>
    <x v="3"/>
    <m/>
    <s v="Shipping Company C"/>
    <s v="Peter Krschne"/>
    <s v="123 11th Street"/>
    <x v="9"/>
    <s v="FL"/>
    <n v="99999"/>
    <s v="USA"/>
    <m/>
    <x v="1"/>
    <x v="1"/>
    <n v="3.5"/>
    <n v="31"/>
    <x v="181"/>
    <n v="10.850000000000001"/>
  </r>
  <r>
    <n v="1230"/>
    <x v="89"/>
    <x v="10"/>
    <x v="10"/>
    <s v="123 11th Street"/>
    <x v="9"/>
    <x v="9"/>
    <n v="99999"/>
    <s v="USA"/>
    <x v="5"/>
    <x v="3"/>
    <m/>
    <s v="Shipping Company C"/>
    <s v="Peter Krschne"/>
    <s v="123 11th Street"/>
    <x v="9"/>
    <s v="FL"/>
    <n v="99999"/>
    <s v="USA"/>
    <m/>
    <x v="10"/>
    <x v="0"/>
    <n v="2.99"/>
    <n v="52"/>
    <x v="182"/>
    <n v="16.014440000000004"/>
  </r>
  <r>
    <n v="1231"/>
    <x v="90"/>
    <x v="11"/>
    <x v="11"/>
    <s v="123 1st Street"/>
    <x v="10"/>
    <x v="10"/>
    <n v="99999"/>
    <s v="USA"/>
    <x v="2"/>
    <x v="2"/>
    <m/>
    <m/>
    <s v="Anna Bedecs"/>
    <s v="123 1st Street"/>
    <x v="10"/>
    <s v="WA"/>
    <n v="99999"/>
    <s v="USA"/>
    <m/>
    <x v="4"/>
    <x v="0"/>
    <n v="18"/>
    <n v="91"/>
    <x v="183"/>
    <n v="158.886"/>
  </r>
  <r>
    <n v="1232"/>
    <x v="90"/>
    <x v="11"/>
    <x v="11"/>
    <s v="123 1st Street"/>
    <x v="10"/>
    <x v="10"/>
    <n v="99999"/>
    <s v="USA"/>
    <x v="2"/>
    <x v="2"/>
    <m/>
    <m/>
    <s v="Anna Bedecs"/>
    <s v="123 1st Street"/>
    <x v="10"/>
    <s v="WA"/>
    <n v="99999"/>
    <s v="USA"/>
    <m/>
    <x v="5"/>
    <x v="0"/>
    <n v="46"/>
    <n v="14"/>
    <x v="184"/>
    <n v="63.756000000000007"/>
  </r>
  <r>
    <n v="1233"/>
    <x v="90"/>
    <x v="11"/>
    <x v="11"/>
    <s v="123 1st Street"/>
    <x v="10"/>
    <x v="10"/>
    <n v="99999"/>
    <s v="USA"/>
    <x v="2"/>
    <x v="2"/>
    <m/>
    <m/>
    <s v="Anna Bedecs"/>
    <s v="123 1st Street"/>
    <x v="10"/>
    <s v="WA"/>
    <n v="99999"/>
    <s v="USA"/>
    <m/>
    <x v="10"/>
    <x v="0"/>
    <n v="2.99"/>
    <n v="44"/>
    <x v="185"/>
    <n v="13.287560000000001"/>
  </r>
  <r>
    <n v="1234"/>
    <x v="85"/>
    <x v="7"/>
    <x v="7"/>
    <s v="789 28th Street"/>
    <x v="6"/>
    <x v="6"/>
    <n v="99999"/>
    <s v="USA"/>
    <x v="5"/>
    <x v="3"/>
    <d v="2014-08-30T00:00:00"/>
    <s v="Shipping Company C"/>
    <s v="Amritansh Raghav"/>
    <s v="789 28th Street"/>
    <x v="6"/>
    <s v="TN"/>
    <n v="99999"/>
    <s v="USA"/>
    <s v="Credit Card"/>
    <x v="8"/>
    <x v="4"/>
    <n v="9.65"/>
    <n v="97"/>
    <x v="53"/>
    <n v="95.477100000000021"/>
  </r>
  <r>
    <n v="1235"/>
    <x v="85"/>
    <x v="7"/>
    <x v="7"/>
    <s v="789 28th Street"/>
    <x v="6"/>
    <x v="6"/>
    <n v="99999"/>
    <s v="USA"/>
    <x v="5"/>
    <x v="3"/>
    <d v="2014-08-30T00:00:00"/>
    <s v="Shipping Company C"/>
    <s v="Amritansh Raghav"/>
    <s v="789 28th Street"/>
    <x v="6"/>
    <s v="TN"/>
    <n v="99999"/>
    <s v="USA"/>
    <s v="Credit Card"/>
    <x v="13"/>
    <x v="8"/>
    <n v="18.399999999999999"/>
    <n v="80"/>
    <x v="36"/>
    <n v="150.14400000000003"/>
  </r>
  <r>
    <n v="1236"/>
    <x v="91"/>
    <x v="12"/>
    <x v="12"/>
    <s v="123 9th Street"/>
    <x v="11"/>
    <x v="11"/>
    <n v="99999"/>
    <s v="USA"/>
    <x v="7"/>
    <x v="0"/>
    <d v="2014-08-11T00:00:00"/>
    <s v="Shipping Company A"/>
    <s v="Sven Mortensen"/>
    <s v="123 9th Street"/>
    <x v="11"/>
    <s v="UT"/>
    <n v="99999"/>
    <s v="USA"/>
    <s v="Check"/>
    <x v="14"/>
    <x v="9"/>
    <n v="19.5"/>
    <n v="66"/>
    <x v="186"/>
    <n v="132.56100000000001"/>
  </r>
  <r>
    <n v="1237"/>
    <x v="91"/>
    <x v="12"/>
    <x v="12"/>
    <s v="123 9th Street"/>
    <x v="11"/>
    <x v="11"/>
    <n v="99999"/>
    <s v="USA"/>
    <x v="7"/>
    <x v="0"/>
    <d v="2014-08-11T00:00:00"/>
    <s v="Shipping Company A"/>
    <s v="Sven Mortensen"/>
    <s v="123 9th Street"/>
    <x v="11"/>
    <s v="UT"/>
    <n v="99999"/>
    <s v="USA"/>
    <s v="Check"/>
    <x v="15"/>
    <x v="10"/>
    <n v="34.799999999999997"/>
    <n v="32"/>
    <x v="187"/>
    <n v="111.36"/>
  </r>
  <r>
    <n v="1238"/>
    <x v="92"/>
    <x v="6"/>
    <x v="6"/>
    <s v="123 6th Street"/>
    <x v="5"/>
    <x v="5"/>
    <n v="99999"/>
    <s v="USA"/>
    <x v="4"/>
    <x v="2"/>
    <d v="2014-08-08T00:00:00"/>
    <s v="Shipping Company B"/>
    <s v="Francisco Pérez-Olaeta"/>
    <s v="123 6th Street"/>
    <x v="5"/>
    <s v="WI"/>
    <n v="99999"/>
    <s v="USA"/>
    <s v="Credit Card"/>
    <x v="0"/>
    <x v="0"/>
    <n v="14"/>
    <n v="52"/>
    <x v="188"/>
    <n v="72.8"/>
  </r>
  <r>
    <n v="1239"/>
    <x v="86"/>
    <x v="3"/>
    <x v="3"/>
    <s v="123 8th Street"/>
    <x v="2"/>
    <x v="2"/>
    <n v="99999"/>
    <s v="USA"/>
    <x v="2"/>
    <x v="2"/>
    <d v="2014-08-10T00:00:00"/>
    <s v="Shipping Company B"/>
    <s v="Elizabeth Andersen"/>
    <s v="123 8th Street"/>
    <x v="2"/>
    <s v="OR"/>
    <n v="99999"/>
    <s v="USA"/>
    <s v="Check"/>
    <x v="9"/>
    <x v="5"/>
    <n v="40"/>
    <n v="78"/>
    <x v="189"/>
    <n v="318.24"/>
  </r>
  <r>
    <n v="1240"/>
    <x v="86"/>
    <x v="3"/>
    <x v="3"/>
    <s v="123 8th Street"/>
    <x v="2"/>
    <x v="2"/>
    <n v="99999"/>
    <s v="USA"/>
    <x v="2"/>
    <x v="2"/>
    <d v="2014-08-10T00:00:00"/>
    <s v="Shipping Company B"/>
    <s v="Elizabeth Andersen"/>
    <s v="123 8th Street"/>
    <x v="2"/>
    <s v="OR"/>
    <n v="99999"/>
    <s v="USA"/>
    <s v="Check"/>
    <x v="6"/>
    <x v="2"/>
    <n v="9.1999999999999993"/>
    <n v="54"/>
    <x v="190"/>
    <n v="49.183199999999999"/>
  </r>
  <r>
    <n v="1241"/>
    <x v="93"/>
    <x v="13"/>
    <x v="13"/>
    <s v="789 25th Street"/>
    <x v="7"/>
    <x v="7"/>
    <n v="99999"/>
    <s v="USA"/>
    <x v="6"/>
    <x v="1"/>
    <d v="2014-08-27T00:00:00"/>
    <s v="Shipping Company A"/>
    <s v="John Rodman"/>
    <s v="789 25th Street"/>
    <x v="7"/>
    <s v="IL"/>
    <n v="99999"/>
    <s v="USA"/>
    <s v="Cash"/>
    <x v="21"/>
    <x v="2"/>
    <n v="10"/>
    <n v="55"/>
    <x v="62"/>
    <n v="52.25"/>
  </r>
  <r>
    <n v="1242"/>
    <x v="94"/>
    <x v="14"/>
    <x v="14"/>
    <s v="789 26th Street"/>
    <x v="9"/>
    <x v="9"/>
    <n v="99999"/>
    <s v="USA"/>
    <x v="5"/>
    <x v="3"/>
    <d v="2014-08-28T00:00:00"/>
    <s v="Shipping Company C"/>
    <s v="Run Liu"/>
    <s v="789 26th Street"/>
    <x v="9"/>
    <s v="FL"/>
    <n v="99999"/>
    <s v="USA"/>
    <s v="Credit Card"/>
    <x v="22"/>
    <x v="13"/>
    <n v="21.35"/>
    <n v="60"/>
    <x v="191"/>
    <n v="129.381"/>
  </r>
  <r>
    <n v="1243"/>
    <x v="94"/>
    <x v="14"/>
    <x v="14"/>
    <s v="789 26th Street"/>
    <x v="9"/>
    <x v="9"/>
    <n v="99999"/>
    <s v="USA"/>
    <x v="5"/>
    <x v="3"/>
    <d v="2014-08-28T00:00:00"/>
    <s v="Shipping Company C"/>
    <s v="Run Liu"/>
    <s v="789 26th Street"/>
    <x v="9"/>
    <s v="FL"/>
    <n v="99999"/>
    <s v="USA"/>
    <s v="Credit Card"/>
    <x v="8"/>
    <x v="4"/>
    <n v="9.65"/>
    <n v="19"/>
    <x v="192"/>
    <n v="17.41825"/>
  </r>
  <r>
    <n v="1244"/>
    <x v="94"/>
    <x v="14"/>
    <x v="14"/>
    <s v="789 26th Street"/>
    <x v="9"/>
    <x v="9"/>
    <n v="99999"/>
    <s v="USA"/>
    <x v="5"/>
    <x v="3"/>
    <d v="2014-08-28T00:00:00"/>
    <s v="Shipping Company C"/>
    <s v="Run Liu"/>
    <s v="789 26th Street"/>
    <x v="9"/>
    <s v="FL"/>
    <n v="99999"/>
    <s v="USA"/>
    <s v="Credit Card"/>
    <x v="13"/>
    <x v="8"/>
    <n v="18.399999999999999"/>
    <n v="66"/>
    <x v="193"/>
    <n v="125.08320000000001"/>
  </r>
  <r>
    <n v="1245"/>
    <x v="95"/>
    <x v="4"/>
    <x v="4"/>
    <s v="789 29th Street"/>
    <x v="3"/>
    <x v="3"/>
    <n v="99999"/>
    <s v="USA"/>
    <x v="3"/>
    <x v="0"/>
    <d v="2014-08-31T00:00:00"/>
    <s v="Shipping Company B"/>
    <s v="Soo Jung Lee"/>
    <s v="789 29th Street"/>
    <x v="3"/>
    <s v="CO"/>
    <n v="99999"/>
    <s v="USA"/>
    <s v="Check"/>
    <x v="0"/>
    <x v="0"/>
    <n v="14"/>
    <n v="42"/>
    <x v="194"/>
    <n v="59.388000000000005"/>
  </r>
  <r>
    <n v="1246"/>
    <x v="92"/>
    <x v="6"/>
    <x v="6"/>
    <s v="123 6th Street"/>
    <x v="5"/>
    <x v="5"/>
    <n v="99999"/>
    <s v="USA"/>
    <x v="4"/>
    <x v="2"/>
    <n v="41859"/>
    <s v="Shipping Company C"/>
    <s v="Francisco Pérez-Olaeta"/>
    <s v="123 6th Street"/>
    <x v="5"/>
    <s v="WI"/>
    <n v="99999"/>
    <s v="USA"/>
    <s v="Check"/>
    <x v="7"/>
    <x v="3"/>
    <n v="12.75"/>
    <n v="72"/>
    <x v="195"/>
    <n v="89.046000000000006"/>
  </r>
  <r>
    <n v="1248"/>
    <x v="96"/>
    <x v="1"/>
    <x v="1"/>
    <s v="123 4th Street"/>
    <x v="1"/>
    <x v="1"/>
    <n v="99999"/>
    <s v="USA"/>
    <x v="1"/>
    <x v="1"/>
    <n v="41857"/>
    <s v="Shipping Company A"/>
    <s v="Christina Lee"/>
    <s v="123 4th Street"/>
    <x v="1"/>
    <s v="NY"/>
    <n v="99999"/>
    <s v="USA"/>
    <s v="Credit Card"/>
    <x v="23"/>
    <x v="6"/>
    <n v="81"/>
    <n v="32"/>
    <x v="196"/>
    <n v="251.42399999999998"/>
  </r>
  <r>
    <n v="1249"/>
    <x v="96"/>
    <x v="1"/>
    <x v="1"/>
    <s v="123 4th Street"/>
    <x v="1"/>
    <x v="1"/>
    <n v="99999"/>
    <s v="USA"/>
    <x v="1"/>
    <x v="1"/>
    <n v="41857"/>
    <s v="Shipping Company A"/>
    <s v="Christina Lee"/>
    <s v="123 4th Street"/>
    <x v="1"/>
    <s v="NY"/>
    <n v="99999"/>
    <s v="USA"/>
    <s v="Credit Card"/>
    <x v="24"/>
    <x v="14"/>
    <n v="7"/>
    <n v="76"/>
    <x v="197"/>
    <n v="53.732000000000006"/>
  </r>
  <r>
    <n v="1250"/>
    <x v="97"/>
    <x v="8"/>
    <x v="8"/>
    <s v="123 10th Street"/>
    <x v="7"/>
    <x v="7"/>
    <n v="99999"/>
    <s v="USA"/>
    <x v="6"/>
    <x v="1"/>
    <n v="41894"/>
    <s v="Shipping Company A"/>
    <s v="Roland Wacker"/>
    <s v="123 10th Street"/>
    <x v="7"/>
    <s v="IL"/>
    <n v="99999"/>
    <s v="USA"/>
    <m/>
    <x v="6"/>
    <x v="2"/>
    <n v="9.1999999999999993"/>
    <n v="83"/>
    <x v="198"/>
    <n v="74.832799999999992"/>
  </r>
  <r>
    <n v="1251"/>
    <x v="98"/>
    <x v="10"/>
    <x v="10"/>
    <s v="123 11th Street"/>
    <x v="9"/>
    <x v="9"/>
    <n v="99999"/>
    <s v="USA"/>
    <x v="5"/>
    <x v="3"/>
    <m/>
    <s v="Shipping Company C"/>
    <s v="Peter Krschne"/>
    <s v="123 11th Street"/>
    <x v="9"/>
    <s v="FL"/>
    <n v="99999"/>
    <s v="USA"/>
    <m/>
    <x v="1"/>
    <x v="1"/>
    <n v="3.5"/>
    <n v="91"/>
    <x v="199"/>
    <n v="31.213000000000001"/>
  </r>
  <r>
    <n v="1252"/>
    <x v="98"/>
    <x v="10"/>
    <x v="10"/>
    <s v="123 11th Street"/>
    <x v="9"/>
    <x v="9"/>
    <n v="99999"/>
    <s v="USA"/>
    <x v="5"/>
    <x v="3"/>
    <m/>
    <s v="Shipping Company C"/>
    <s v="Peter Krschne"/>
    <s v="123 11th Street"/>
    <x v="9"/>
    <s v="FL"/>
    <n v="99999"/>
    <s v="USA"/>
    <m/>
    <x v="10"/>
    <x v="0"/>
    <n v="2.99"/>
    <n v="64"/>
    <x v="200"/>
    <n v="19.518720000000002"/>
  </r>
  <r>
    <n v="1253"/>
    <x v="99"/>
    <x v="11"/>
    <x v="11"/>
    <s v="123 1st Street"/>
    <x v="10"/>
    <x v="10"/>
    <n v="99999"/>
    <s v="USA"/>
    <x v="2"/>
    <x v="2"/>
    <m/>
    <m/>
    <s v="Anna Bedecs"/>
    <s v="123 1st Street"/>
    <x v="10"/>
    <s v="WA"/>
    <n v="99999"/>
    <s v="USA"/>
    <m/>
    <x v="4"/>
    <x v="0"/>
    <n v="18"/>
    <n v="58"/>
    <x v="137"/>
    <n v="103.35600000000001"/>
  </r>
  <r>
    <n v="1254"/>
    <x v="99"/>
    <x v="11"/>
    <x v="11"/>
    <s v="123 1st Street"/>
    <x v="10"/>
    <x v="10"/>
    <n v="99999"/>
    <s v="USA"/>
    <x v="2"/>
    <x v="2"/>
    <m/>
    <m/>
    <s v="Anna Bedecs"/>
    <s v="123 1st Street"/>
    <x v="10"/>
    <s v="WA"/>
    <n v="99999"/>
    <s v="USA"/>
    <m/>
    <x v="5"/>
    <x v="0"/>
    <n v="46"/>
    <n v="97"/>
    <x v="201"/>
    <n v="464.04800000000006"/>
  </r>
  <r>
    <n v="1255"/>
    <x v="99"/>
    <x v="11"/>
    <x v="11"/>
    <s v="123 1st Street"/>
    <x v="10"/>
    <x v="10"/>
    <n v="99999"/>
    <s v="USA"/>
    <x v="2"/>
    <x v="2"/>
    <m/>
    <m/>
    <s v="Anna Bedecs"/>
    <s v="123 1st Street"/>
    <x v="10"/>
    <s v="WA"/>
    <n v="99999"/>
    <s v="USA"/>
    <m/>
    <x v="10"/>
    <x v="0"/>
    <n v="2.99"/>
    <n v="14"/>
    <x v="202"/>
    <n v="4.35344"/>
  </r>
  <r>
    <n v="1256"/>
    <x v="100"/>
    <x v="7"/>
    <x v="7"/>
    <s v="789 28th Street"/>
    <x v="6"/>
    <x v="6"/>
    <n v="99999"/>
    <s v="USA"/>
    <x v="5"/>
    <x v="3"/>
    <d v="2014-09-30T00:00:00"/>
    <s v="Shipping Company C"/>
    <s v="Amritansh Raghav"/>
    <s v="789 28th Street"/>
    <x v="6"/>
    <s v="TN"/>
    <n v="99999"/>
    <s v="USA"/>
    <s v="Credit Card"/>
    <x v="8"/>
    <x v="4"/>
    <n v="9.65"/>
    <n v="68"/>
    <x v="203"/>
    <n v="64.307600000000008"/>
  </r>
  <r>
    <n v="1257"/>
    <x v="100"/>
    <x v="7"/>
    <x v="7"/>
    <s v="789 28th Street"/>
    <x v="6"/>
    <x v="6"/>
    <n v="99999"/>
    <s v="USA"/>
    <x v="5"/>
    <x v="3"/>
    <n v="41912"/>
    <s v="Shipping Company C"/>
    <s v="Amritansh Raghav"/>
    <s v="789 28th Street"/>
    <x v="6"/>
    <s v="TN"/>
    <n v="99999"/>
    <s v="USA"/>
    <s v="Credit Card"/>
    <x v="13"/>
    <x v="8"/>
    <n v="18.399999999999999"/>
    <n v="32"/>
    <x v="204"/>
    <n v="58.879999999999995"/>
  </r>
  <r>
    <n v="1258"/>
    <x v="101"/>
    <x v="12"/>
    <x v="12"/>
    <s v="123 9th Street"/>
    <x v="11"/>
    <x v="11"/>
    <n v="99999"/>
    <s v="USA"/>
    <x v="7"/>
    <x v="0"/>
    <d v="2014-09-11T00:00:00"/>
    <s v="Shipping Company A"/>
    <s v="Sven Mortensen"/>
    <s v="123 9th Street"/>
    <x v="11"/>
    <s v="UT"/>
    <n v="99999"/>
    <s v="USA"/>
    <s v="Check"/>
    <x v="14"/>
    <x v="9"/>
    <n v="19.5"/>
    <n v="48"/>
    <x v="205"/>
    <n v="94.536000000000016"/>
  </r>
  <r>
    <n v="1259"/>
    <x v="101"/>
    <x v="12"/>
    <x v="12"/>
    <s v="123 9th Street"/>
    <x v="11"/>
    <x v="11"/>
    <n v="99999"/>
    <s v="USA"/>
    <x v="7"/>
    <x v="0"/>
    <d v="2014-09-11T00:00:00"/>
    <s v="Shipping Company A"/>
    <s v="Sven Mortensen"/>
    <s v="123 9th Street"/>
    <x v="11"/>
    <s v="UT"/>
    <n v="99999"/>
    <s v="USA"/>
    <s v="Check"/>
    <x v="15"/>
    <x v="10"/>
    <n v="34.799999999999997"/>
    <n v="57"/>
    <x v="206"/>
    <n v="194.39280000000002"/>
  </r>
  <r>
    <n v="1260"/>
    <x v="102"/>
    <x v="6"/>
    <x v="6"/>
    <s v="123 6th Street"/>
    <x v="5"/>
    <x v="5"/>
    <n v="99999"/>
    <s v="USA"/>
    <x v="4"/>
    <x v="2"/>
    <d v="2014-09-08T00:00:00"/>
    <s v="Shipping Company B"/>
    <s v="Francisco Pérez-Olaeta"/>
    <s v="123 6th Street"/>
    <x v="5"/>
    <s v="WI"/>
    <n v="99999"/>
    <s v="USA"/>
    <s v="Credit Card"/>
    <x v="0"/>
    <x v="0"/>
    <n v="14"/>
    <n v="67"/>
    <x v="207"/>
    <n v="98.490000000000009"/>
  </r>
  <r>
    <n v="1261"/>
    <x v="103"/>
    <x v="3"/>
    <x v="3"/>
    <s v="123 8th Street"/>
    <x v="2"/>
    <x v="2"/>
    <n v="99999"/>
    <s v="USA"/>
    <x v="2"/>
    <x v="2"/>
    <n v="41892"/>
    <s v="Shipping Company B"/>
    <s v="Elizabeth Andersen"/>
    <s v="123 8th Street"/>
    <x v="2"/>
    <s v="OR"/>
    <n v="99999"/>
    <s v="USA"/>
    <s v="Check"/>
    <x v="9"/>
    <x v="5"/>
    <n v="40"/>
    <n v="48"/>
    <x v="208"/>
    <n v="188.16"/>
  </r>
  <r>
    <n v="1262"/>
    <x v="103"/>
    <x v="3"/>
    <x v="3"/>
    <s v="123 8th Street"/>
    <x v="2"/>
    <x v="2"/>
    <n v="99999"/>
    <s v="USA"/>
    <x v="2"/>
    <x v="2"/>
    <n v="41892"/>
    <s v="Shipping Company B"/>
    <s v="Elizabeth Andersen"/>
    <s v="123 8th Street"/>
    <x v="2"/>
    <s v="OR"/>
    <n v="99999"/>
    <s v="USA"/>
    <s v="Check"/>
    <x v="6"/>
    <x v="2"/>
    <n v="9.1999999999999993"/>
    <n v="77"/>
    <x v="209"/>
    <n v="72.256799999999998"/>
  </r>
  <r>
    <n v="1263"/>
    <x v="104"/>
    <x v="13"/>
    <x v="13"/>
    <s v="789 25th Street"/>
    <x v="7"/>
    <x v="7"/>
    <n v="99999"/>
    <s v="USA"/>
    <x v="6"/>
    <x v="1"/>
    <n v="41909"/>
    <s v="Shipping Company A"/>
    <s v="John Rodman"/>
    <s v="789 25th Street"/>
    <x v="7"/>
    <s v="IL"/>
    <n v="99999"/>
    <s v="USA"/>
    <s v="Cash"/>
    <x v="21"/>
    <x v="2"/>
    <n v="10"/>
    <n v="94"/>
    <x v="210"/>
    <n v="97.76"/>
  </r>
  <r>
    <n v="1264"/>
    <x v="105"/>
    <x v="14"/>
    <x v="14"/>
    <s v="789 26th Street"/>
    <x v="9"/>
    <x v="9"/>
    <n v="99999"/>
    <s v="USA"/>
    <x v="5"/>
    <x v="3"/>
    <n v="41910"/>
    <s v="Shipping Company C"/>
    <s v="Run Liu"/>
    <s v="789 26th Street"/>
    <x v="9"/>
    <s v="FL"/>
    <n v="99999"/>
    <s v="USA"/>
    <s v="Credit Card"/>
    <x v="22"/>
    <x v="13"/>
    <n v="21.35"/>
    <n v="54"/>
    <x v="211"/>
    <n v="121.05450000000003"/>
  </r>
  <r>
    <n v="1265"/>
    <x v="105"/>
    <x v="14"/>
    <x v="14"/>
    <s v="789 26th Street"/>
    <x v="9"/>
    <x v="9"/>
    <n v="99999"/>
    <s v="USA"/>
    <x v="5"/>
    <x v="3"/>
    <n v="41910"/>
    <s v="Shipping Company C"/>
    <s v="Run Liu"/>
    <s v="789 26th Street"/>
    <x v="9"/>
    <s v="FL"/>
    <n v="99999"/>
    <s v="USA"/>
    <s v="Credit Card"/>
    <x v="8"/>
    <x v="4"/>
    <n v="9.65"/>
    <n v="43"/>
    <x v="84"/>
    <n v="40.250150000000005"/>
  </r>
  <r>
    <n v="1266"/>
    <x v="105"/>
    <x v="14"/>
    <x v="14"/>
    <s v="789 26th Street"/>
    <x v="9"/>
    <x v="9"/>
    <n v="99999"/>
    <s v="USA"/>
    <x v="5"/>
    <x v="3"/>
    <d v="2014-09-28T00:00:00"/>
    <s v="Shipping Company C"/>
    <s v="Run Liu"/>
    <s v="789 26th Street"/>
    <x v="9"/>
    <s v="FL"/>
    <n v="99999"/>
    <s v="USA"/>
    <s v="Credit Card"/>
    <x v="13"/>
    <x v="8"/>
    <n v="18.399999999999999"/>
    <n v="71"/>
    <x v="143"/>
    <n v="134.55919999999998"/>
  </r>
  <r>
    <n v="1267"/>
    <x v="106"/>
    <x v="4"/>
    <x v="4"/>
    <s v="789 29th Street"/>
    <x v="3"/>
    <x v="3"/>
    <n v="99999"/>
    <s v="USA"/>
    <x v="3"/>
    <x v="0"/>
    <d v="2014-10-01T00:00:00"/>
    <s v="Shipping Company B"/>
    <s v="Soo Jung Lee"/>
    <s v="789 29th Street"/>
    <x v="3"/>
    <s v="CO"/>
    <n v="99999"/>
    <s v="USA"/>
    <s v="Check"/>
    <x v="0"/>
    <x v="0"/>
    <n v="14"/>
    <n v="50"/>
    <x v="212"/>
    <n v="67.2"/>
  </r>
  <r>
    <n v="1268"/>
    <x v="102"/>
    <x v="6"/>
    <x v="6"/>
    <s v="123 6th Street"/>
    <x v="5"/>
    <x v="5"/>
    <n v="99999"/>
    <s v="USA"/>
    <x v="4"/>
    <x v="2"/>
    <d v="2014-09-08T00:00:00"/>
    <s v="Shipping Company C"/>
    <s v="Francisco Pérez-Olaeta"/>
    <s v="123 6th Street"/>
    <x v="5"/>
    <s v="WI"/>
    <n v="99999"/>
    <s v="USA"/>
    <s v="Check"/>
    <x v="7"/>
    <x v="3"/>
    <n v="12.75"/>
    <n v="96"/>
    <x v="146"/>
    <n v="119.952"/>
  </r>
  <r>
    <n v="1270"/>
    <x v="107"/>
    <x v="1"/>
    <x v="1"/>
    <s v="123 4th Street"/>
    <x v="1"/>
    <x v="1"/>
    <n v="99999"/>
    <s v="USA"/>
    <x v="1"/>
    <x v="1"/>
    <d v="2014-09-06T00:00:00"/>
    <s v="Shipping Company A"/>
    <s v="Christina Lee"/>
    <s v="123 4th Street"/>
    <x v="1"/>
    <s v="NY"/>
    <n v="99999"/>
    <s v="USA"/>
    <s v="Credit Card"/>
    <x v="23"/>
    <x v="6"/>
    <n v="81"/>
    <n v="54"/>
    <x v="213"/>
    <n v="437.40000000000003"/>
  </r>
  <r>
    <n v="1271"/>
    <x v="107"/>
    <x v="1"/>
    <x v="1"/>
    <s v="123 4th Street"/>
    <x v="1"/>
    <x v="1"/>
    <n v="99999"/>
    <s v="USA"/>
    <x v="1"/>
    <x v="1"/>
    <d v="2014-09-06T00:00:00"/>
    <s v="Shipping Company A"/>
    <s v="Christina Lee"/>
    <s v="123 4th Street"/>
    <x v="1"/>
    <s v="NY"/>
    <n v="99999"/>
    <s v="USA"/>
    <s v="Credit Card"/>
    <x v="24"/>
    <x v="14"/>
    <n v="7"/>
    <n v="39"/>
    <x v="214"/>
    <n v="27.3"/>
  </r>
  <r>
    <n v="1273"/>
    <x v="103"/>
    <x v="3"/>
    <x v="3"/>
    <s v="123 8th Street"/>
    <x v="2"/>
    <x v="2"/>
    <n v="99999"/>
    <s v="USA"/>
    <x v="2"/>
    <x v="2"/>
    <d v="2014-09-10T00:00:00"/>
    <s v="Shipping Company C"/>
    <s v="Elizabeth Andersen"/>
    <s v="123 8th Street"/>
    <x v="2"/>
    <s v="OR"/>
    <n v="99999"/>
    <s v="USA"/>
    <s v="Credit Card"/>
    <x v="15"/>
    <x v="10"/>
    <n v="34.799999999999997"/>
    <n v="63"/>
    <x v="59"/>
    <n v="230.202"/>
  </r>
  <r>
    <n v="1276"/>
    <x v="108"/>
    <x v="5"/>
    <x v="5"/>
    <s v="123 3rd Street"/>
    <x v="4"/>
    <x v="4"/>
    <n v="99999"/>
    <s v="USA"/>
    <x v="0"/>
    <x v="0"/>
    <d v="2014-09-05T00:00:00"/>
    <s v="Shipping Company B"/>
    <s v="Thomas Axerr"/>
    <s v="123 3rd Street"/>
    <x v="4"/>
    <s v="CA"/>
    <n v="99999"/>
    <s v="USA"/>
    <s v="Cash"/>
    <x v="16"/>
    <x v="7"/>
    <n v="10"/>
    <n v="71"/>
    <x v="215"/>
    <n v="73.13"/>
  </r>
  <r>
    <n v="1277"/>
    <x v="108"/>
    <x v="5"/>
    <x v="5"/>
    <s v="123 3rd Street"/>
    <x v="4"/>
    <x v="4"/>
    <n v="99999"/>
    <s v="USA"/>
    <x v="0"/>
    <x v="0"/>
    <d v="2014-09-05T00:00:00"/>
    <s v="Shipping Company B"/>
    <s v="Thomas Axerr"/>
    <s v="123 3rd Street"/>
    <x v="4"/>
    <s v="CA"/>
    <n v="99999"/>
    <s v="USA"/>
    <s v="Cash"/>
    <x v="9"/>
    <x v="5"/>
    <n v="40"/>
    <n v="88"/>
    <x v="216"/>
    <n v="366.08000000000004"/>
  </r>
  <r>
    <n v="1281"/>
    <x v="97"/>
    <x v="8"/>
    <x v="8"/>
    <s v="123 10th Street"/>
    <x v="7"/>
    <x v="7"/>
    <n v="99999"/>
    <s v="USA"/>
    <x v="6"/>
    <x v="1"/>
    <d v="2014-09-12T00:00:00"/>
    <s v="Shipping Company B"/>
    <s v="Roland Wacker"/>
    <s v="123 10th Street"/>
    <x v="7"/>
    <s v="IL"/>
    <n v="99999"/>
    <s v="USA"/>
    <s v="Credit Card"/>
    <x v="18"/>
    <x v="1"/>
    <n v="10"/>
    <n v="59"/>
    <x v="217"/>
    <n v="59.59"/>
  </r>
  <r>
    <n v="1282"/>
    <x v="109"/>
    <x v="6"/>
    <x v="6"/>
    <s v="123 6th Street"/>
    <x v="5"/>
    <x v="5"/>
    <n v="99999"/>
    <s v="USA"/>
    <x v="4"/>
    <x v="2"/>
    <d v="2014-10-08T00:00:00"/>
    <s v="Shipping Company B"/>
    <s v="Francisco Pérez-Olaeta"/>
    <s v="123 6th Street"/>
    <x v="5"/>
    <s v="WI"/>
    <n v="99999"/>
    <s v="USA"/>
    <s v="Credit Card"/>
    <x v="9"/>
    <x v="5"/>
    <n v="40"/>
    <n v="94"/>
    <x v="218"/>
    <n v="376"/>
  </r>
  <r>
    <n v="1283"/>
    <x v="110"/>
    <x v="7"/>
    <x v="7"/>
    <s v="789 28th Street"/>
    <x v="6"/>
    <x v="6"/>
    <n v="99999"/>
    <s v="USA"/>
    <x v="5"/>
    <x v="3"/>
    <d v="2014-10-30T00:00:00"/>
    <s v="Shipping Company C"/>
    <s v="Amritansh Raghav"/>
    <s v="789 28th Street"/>
    <x v="6"/>
    <s v="TN"/>
    <n v="99999"/>
    <s v="USA"/>
    <s v="Check"/>
    <x v="5"/>
    <x v="0"/>
    <n v="46"/>
    <n v="86"/>
    <x v="177"/>
    <n v="379.77600000000001"/>
  </r>
  <r>
    <n v="1284"/>
    <x v="111"/>
    <x v="3"/>
    <x v="3"/>
    <s v="123 8th Street"/>
    <x v="2"/>
    <x v="2"/>
    <n v="99999"/>
    <s v="USA"/>
    <x v="2"/>
    <x v="2"/>
    <d v="2014-10-10T00:00:00"/>
    <s v="Shipping Company C"/>
    <s v="Elizabeth Andersen"/>
    <s v="123 8th Street"/>
    <x v="2"/>
    <s v="OR"/>
    <n v="99999"/>
    <s v="USA"/>
    <s v="Check"/>
    <x v="7"/>
    <x v="3"/>
    <n v="12.75"/>
    <n v="61"/>
    <x v="219"/>
    <n v="78.552750000000003"/>
  </r>
  <r>
    <n v="1285"/>
    <x v="112"/>
    <x v="8"/>
    <x v="8"/>
    <s v="123 10th Street"/>
    <x v="7"/>
    <x v="7"/>
    <n v="99999"/>
    <s v="USA"/>
    <x v="6"/>
    <x v="1"/>
    <d v="2014-10-12T00:00:00"/>
    <s v="Shipping Company B"/>
    <s v="Roland Wacker"/>
    <s v="123 10th Street"/>
    <x v="7"/>
    <s v="IL"/>
    <n v="99999"/>
    <s v="USA"/>
    <s v="Credit Card"/>
    <x v="10"/>
    <x v="0"/>
    <n v="2.99"/>
    <n v="32"/>
    <x v="220"/>
    <n v="9.7593600000000009"/>
  </r>
  <r>
    <n v="1286"/>
    <x v="113"/>
    <x v="9"/>
    <x v="9"/>
    <s v="123 7th Street"/>
    <x v="8"/>
    <x v="8"/>
    <n v="99999"/>
    <s v="USA"/>
    <x v="2"/>
    <x v="2"/>
    <m/>
    <m/>
    <s v="Ming-Yang Xie"/>
    <s v="123 7th Street"/>
    <x v="8"/>
    <s v="ID"/>
    <n v="99999"/>
    <s v="USA"/>
    <m/>
    <x v="5"/>
    <x v="0"/>
    <n v="46"/>
    <n v="62"/>
    <x v="221"/>
    <n v="290.904"/>
  </r>
  <r>
    <n v="1287"/>
    <x v="112"/>
    <x v="8"/>
    <x v="8"/>
    <s v="123 10th Street"/>
    <x v="7"/>
    <x v="7"/>
    <n v="99999"/>
    <s v="USA"/>
    <x v="6"/>
    <x v="1"/>
    <d v="2014-10-12T00:00:00"/>
    <s v="Shipping Company A"/>
    <s v="Roland Wacker"/>
    <s v="123 10th Street"/>
    <x v="7"/>
    <s v="IL"/>
    <n v="99999"/>
    <s v="USA"/>
    <m/>
    <x v="11"/>
    <x v="6"/>
    <n v="25"/>
    <n v="60"/>
    <x v="222"/>
    <n v="154.5"/>
  </r>
  <r>
    <n v="1288"/>
    <x v="112"/>
    <x v="8"/>
    <x v="8"/>
    <s v="123 10th Street"/>
    <x v="7"/>
    <x v="7"/>
    <n v="99999"/>
    <s v="USA"/>
    <x v="6"/>
    <x v="1"/>
    <d v="2014-10-12T00:00:00"/>
    <s v="Shipping Company A"/>
    <s v="Roland Wacker"/>
    <s v="123 10th Street"/>
    <x v="7"/>
    <s v="IL"/>
    <n v="99999"/>
    <s v="USA"/>
    <m/>
    <x v="12"/>
    <x v="7"/>
    <n v="22"/>
    <n v="51"/>
    <x v="223"/>
    <n v="109.956"/>
  </r>
  <r>
    <n v="1289"/>
    <x v="112"/>
    <x v="8"/>
    <x v="8"/>
    <s v="123 10th Street"/>
    <x v="7"/>
    <x v="7"/>
    <n v="99999"/>
    <s v="USA"/>
    <x v="6"/>
    <x v="1"/>
    <d v="2014-10-12T00:00:00"/>
    <s v="Shipping Company A"/>
    <s v="Roland Wacker"/>
    <s v="123 10th Street"/>
    <x v="7"/>
    <s v="IL"/>
    <n v="99999"/>
    <s v="USA"/>
    <m/>
    <x v="6"/>
    <x v="2"/>
    <n v="9.1999999999999993"/>
    <n v="49"/>
    <x v="224"/>
    <n v="44.629199999999997"/>
  </r>
  <r>
    <n v="1290"/>
    <x v="114"/>
    <x v="10"/>
    <x v="10"/>
    <s v="123 11th Street"/>
    <x v="9"/>
    <x v="9"/>
    <n v="99999"/>
    <s v="USA"/>
    <x v="5"/>
    <x v="3"/>
    <m/>
    <s v="Shipping Company C"/>
    <s v="Peter Krschne"/>
    <s v="123 11th Street"/>
    <x v="9"/>
    <s v="FL"/>
    <n v="99999"/>
    <s v="USA"/>
    <m/>
    <x v="1"/>
    <x v="1"/>
    <n v="3.5"/>
    <n v="20"/>
    <x v="225"/>
    <n v="6.93"/>
  </r>
  <r>
    <n v="1291"/>
    <x v="114"/>
    <x v="10"/>
    <x v="10"/>
    <s v="123 11th Street"/>
    <x v="9"/>
    <x v="9"/>
    <n v="99999"/>
    <s v="USA"/>
    <x v="5"/>
    <x v="3"/>
    <m/>
    <s v="Shipping Company C"/>
    <s v="Peter Krschne"/>
    <s v="123 11th Street"/>
    <x v="9"/>
    <s v="FL"/>
    <n v="99999"/>
    <s v="USA"/>
    <m/>
    <x v="10"/>
    <x v="0"/>
    <n v="2.99"/>
    <n v="49"/>
    <x v="20"/>
    <n v="14.651000000000003"/>
  </r>
  <r>
    <n v="1292"/>
    <x v="115"/>
    <x v="11"/>
    <x v="11"/>
    <s v="123 1st Street"/>
    <x v="10"/>
    <x v="10"/>
    <n v="99999"/>
    <s v="USA"/>
    <x v="2"/>
    <x v="2"/>
    <m/>
    <m/>
    <s v="Anna Bedecs"/>
    <s v="123 1st Street"/>
    <x v="10"/>
    <s v="WA"/>
    <n v="99999"/>
    <s v="USA"/>
    <m/>
    <x v="4"/>
    <x v="0"/>
    <n v="18"/>
    <n v="22"/>
    <x v="226"/>
    <n v="38.015999999999998"/>
  </r>
  <r>
    <n v="1293"/>
    <x v="115"/>
    <x v="11"/>
    <x v="11"/>
    <s v="123 1st Street"/>
    <x v="10"/>
    <x v="10"/>
    <n v="99999"/>
    <s v="USA"/>
    <x v="2"/>
    <x v="2"/>
    <m/>
    <m/>
    <s v="Anna Bedecs"/>
    <s v="123 1st Street"/>
    <x v="10"/>
    <s v="WA"/>
    <n v="99999"/>
    <s v="USA"/>
    <m/>
    <x v="5"/>
    <x v="0"/>
    <n v="46"/>
    <n v="73"/>
    <x v="227"/>
    <n v="339.15800000000002"/>
  </r>
  <r>
    <n v="1294"/>
    <x v="115"/>
    <x v="11"/>
    <x v="11"/>
    <s v="123 1st Street"/>
    <x v="10"/>
    <x v="10"/>
    <n v="99999"/>
    <s v="USA"/>
    <x v="2"/>
    <x v="2"/>
    <m/>
    <m/>
    <s v="Anna Bedecs"/>
    <s v="123 1st Street"/>
    <x v="10"/>
    <s v="WA"/>
    <n v="99999"/>
    <s v="USA"/>
    <m/>
    <x v="10"/>
    <x v="0"/>
    <n v="2.99"/>
    <n v="85"/>
    <x v="228"/>
    <n v="24.652550000000002"/>
  </r>
  <r>
    <n v="1295"/>
    <x v="110"/>
    <x v="7"/>
    <x v="7"/>
    <s v="789 28th Street"/>
    <x v="6"/>
    <x v="6"/>
    <n v="99999"/>
    <s v="USA"/>
    <x v="5"/>
    <x v="3"/>
    <d v="2014-10-30T00:00:00"/>
    <s v="Shipping Company C"/>
    <s v="Amritansh Raghav"/>
    <s v="789 28th Street"/>
    <x v="6"/>
    <s v="TN"/>
    <n v="99999"/>
    <s v="USA"/>
    <s v="Credit Card"/>
    <x v="8"/>
    <x v="4"/>
    <n v="9.65"/>
    <n v="44"/>
    <x v="229"/>
    <n v="44.158400000000007"/>
  </r>
  <r>
    <n v="1296"/>
    <x v="110"/>
    <x v="7"/>
    <x v="7"/>
    <s v="789 28th Street"/>
    <x v="6"/>
    <x v="6"/>
    <n v="99999"/>
    <s v="USA"/>
    <x v="5"/>
    <x v="3"/>
    <d v="2014-10-30T00:00:00"/>
    <s v="Shipping Company C"/>
    <s v="Amritansh Raghav"/>
    <s v="789 28th Street"/>
    <x v="6"/>
    <s v="TN"/>
    <n v="99999"/>
    <s v="USA"/>
    <s v="Credit Card"/>
    <x v="13"/>
    <x v="8"/>
    <n v="18.399999999999999"/>
    <n v="24"/>
    <x v="230"/>
    <n v="42.835199999999993"/>
  </r>
  <r>
    <n v="1297"/>
    <x v="116"/>
    <x v="12"/>
    <x v="12"/>
    <s v="123 9th Street"/>
    <x v="11"/>
    <x v="11"/>
    <n v="99999"/>
    <s v="USA"/>
    <x v="7"/>
    <x v="0"/>
    <d v="2014-10-11T00:00:00"/>
    <s v="Shipping Company A"/>
    <s v="Sven Mortensen"/>
    <s v="123 9th Street"/>
    <x v="11"/>
    <s v="UT"/>
    <n v="99999"/>
    <s v="USA"/>
    <s v="Check"/>
    <x v="14"/>
    <x v="9"/>
    <n v="19.5"/>
    <n v="64"/>
    <x v="231"/>
    <n v="119.80800000000001"/>
  </r>
  <r>
    <n v="1298"/>
    <x v="116"/>
    <x v="12"/>
    <x v="12"/>
    <s v="123 9th Street"/>
    <x v="11"/>
    <x v="11"/>
    <n v="99999"/>
    <s v="USA"/>
    <x v="7"/>
    <x v="0"/>
    <d v="2014-10-11T00:00:00"/>
    <s v="Shipping Company A"/>
    <s v="Sven Mortensen"/>
    <s v="123 9th Street"/>
    <x v="11"/>
    <s v="UT"/>
    <n v="99999"/>
    <s v="USA"/>
    <s v="Check"/>
    <x v="15"/>
    <x v="10"/>
    <n v="34.799999999999997"/>
    <n v="70"/>
    <x v="232"/>
    <n v="246.03600000000003"/>
  </r>
  <r>
    <n v="1299"/>
    <x v="109"/>
    <x v="6"/>
    <x v="6"/>
    <s v="123 6th Street"/>
    <x v="5"/>
    <x v="5"/>
    <n v="99999"/>
    <s v="USA"/>
    <x v="4"/>
    <x v="2"/>
    <d v="2014-10-08T00:00:00"/>
    <s v="Shipping Company B"/>
    <s v="Francisco Pérez-Olaeta"/>
    <s v="123 6th Street"/>
    <x v="5"/>
    <s v="WI"/>
    <n v="99999"/>
    <s v="USA"/>
    <s v="Credit Card"/>
    <x v="0"/>
    <x v="0"/>
    <n v="14"/>
    <n v="98"/>
    <x v="233"/>
    <n v="138.57200000000003"/>
  </r>
  <r>
    <n v="1300"/>
    <x v="111"/>
    <x v="3"/>
    <x v="3"/>
    <s v="123 8th Street"/>
    <x v="2"/>
    <x v="2"/>
    <n v="99999"/>
    <s v="USA"/>
    <x v="2"/>
    <x v="2"/>
    <d v="2014-10-10T00:00:00"/>
    <s v="Shipping Company B"/>
    <s v="Elizabeth Andersen"/>
    <s v="123 8th Street"/>
    <x v="2"/>
    <s v="OR"/>
    <n v="99999"/>
    <s v="USA"/>
    <s v="Check"/>
    <x v="9"/>
    <x v="5"/>
    <n v="40"/>
    <n v="48"/>
    <x v="208"/>
    <n v="188.16"/>
  </r>
  <r>
    <n v="1301"/>
    <x v="111"/>
    <x v="3"/>
    <x v="3"/>
    <s v="123 8th Street"/>
    <x v="2"/>
    <x v="2"/>
    <n v="99999"/>
    <s v="USA"/>
    <x v="2"/>
    <x v="2"/>
    <d v="2014-10-10T00:00:00"/>
    <s v="Shipping Company B"/>
    <s v="Elizabeth Andersen"/>
    <s v="123 8th Street"/>
    <x v="2"/>
    <s v="OR"/>
    <n v="99999"/>
    <s v="USA"/>
    <s v="Check"/>
    <x v="6"/>
    <x v="2"/>
    <n v="9.1999999999999993"/>
    <n v="100"/>
    <x v="234"/>
    <n v="91.08"/>
  </r>
  <r>
    <n v="1302"/>
    <x v="117"/>
    <x v="13"/>
    <x v="13"/>
    <s v="789 25th Street"/>
    <x v="7"/>
    <x v="7"/>
    <n v="99999"/>
    <s v="USA"/>
    <x v="6"/>
    <x v="1"/>
    <d v="2014-10-27T00:00:00"/>
    <s v="Shipping Company A"/>
    <s v="John Rodman"/>
    <s v="789 25th Street"/>
    <x v="7"/>
    <s v="IL"/>
    <n v="99999"/>
    <s v="USA"/>
    <s v="Cash"/>
    <x v="21"/>
    <x v="2"/>
    <n v="10"/>
    <n v="90"/>
    <x v="235"/>
    <n v="87.3"/>
  </r>
  <r>
    <n v="1303"/>
    <x v="118"/>
    <x v="14"/>
    <x v="14"/>
    <s v="789 26th Street"/>
    <x v="9"/>
    <x v="9"/>
    <n v="99999"/>
    <s v="USA"/>
    <x v="5"/>
    <x v="3"/>
    <d v="2014-10-28T00:00:00"/>
    <s v="Shipping Company C"/>
    <s v="Run Liu"/>
    <s v="789 26th Street"/>
    <x v="9"/>
    <s v="FL"/>
    <n v="99999"/>
    <s v="USA"/>
    <s v="Credit Card"/>
    <x v="22"/>
    <x v="13"/>
    <n v="21.35"/>
    <n v="49"/>
    <x v="236"/>
    <n v="102.5227"/>
  </r>
  <r>
    <n v="1304"/>
    <x v="118"/>
    <x v="14"/>
    <x v="14"/>
    <s v="789 26th Street"/>
    <x v="9"/>
    <x v="9"/>
    <n v="99999"/>
    <s v="USA"/>
    <x v="5"/>
    <x v="3"/>
    <d v="2014-10-28T00:00:00"/>
    <s v="Shipping Company C"/>
    <s v="Run Liu"/>
    <s v="789 26th Street"/>
    <x v="9"/>
    <s v="FL"/>
    <n v="99999"/>
    <s v="USA"/>
    <s v="Credit Card"/>
    <x v="8"/>
    <x v="4"/>
    <n v="9.65"/>
    <n v="71"/>
    <x v="237"/>
    <n v="65.7744"/>
  </r>
  <r>
    <n v="1305"/>
    <x v="118"/>
    <x v="14"/>
    <x v="14"/>
    <s v="789 26th Street"/>
    <x v="9"/>
    <x v="9"/>
    <n v="99999"/>
    <s v="USA"/>
    <x v="5"/>
    <x v="3"/>
    <d v="2014-10-28T00:00:00"/>
    <s v="Shipping Company C"/>
    <s v="Run Liu"/>
    <s v="789 26th Street"/>
    <x v="9"/>
    <s v="FL"/>
    <n v="99999"/>
    <s v="USA"/>
    <s v="Credit Card"/>
    <x v="13"/>
    <x v="8"/>
    <n v="18.399999999999999"/>
    <n v="10"/>
    <x v="238"/>
    <n v="19.136000000000003"/>
  </r>
  <r>
    <n v="1306"/>
    <x v="119"/>
    <x v="4"/>
    <x v="4"/>
    <s v="789 29th Street"/>
    <x v="3"/>
    <x v="3"/>
    <n v="99999"/>
    <s v="USA"/>
    <x v="3"/>
    <x v="0"/>
    <d v="2014-10-31T00:00:00"/>
    <s v="Shipping Company B"/>
    <s v="Soo Jung Lee"/>
    <s v="789 29th Street"/>
    <x v="3"/>
    <s v="CO"/>
    <n v="99999"/>
    <s v="USA"/>
    <s v="Check"/>
    <x v="0"/>
    <x v="0"/>
    <n v="14"/>
    <n v="78"/>
    <x v="239"/>
    <n v="112.476"/>
  </r>
  <r>
    <n v="1307"/>
    <x v="109"/>
    <x v="6"/>
    <x v="6"/>
    <s v="123 6th Street"/>
    <x v="5"/>
    <x v="5"/>
    <n v="99999"/>
    <s v="USA"/>
    <x v="4"/>
    <x v="2"/>
    <d v="2014-10-08T00:00:00"/>
    <s v="Shipping Company C"/>
    <s v="Francisco Pérez-Olaeta"/>
    <s v="123 6th Street"/>
    <x v="5"/>
    <s v="WI"/>
    <n v="99999"/>
    <s v="USA"/>
    <s v="Check"/>
    <x v="7"/>
    <x v="3"/>
    <n v="12.75"/>
    <n v="44"/>
    <x v="134"/>
    <n v="53.856000000000002"/>
  </r>
  <r>
    <n v="1309"/>
    <x v="120"/>
    <x v="1"/>
    <x v="1"/>
    <s v="123 4th Street"/>
    <x v="1"/>
    <x v="1"/>
    <n v="99999"/>
    <s v="USA"/>
    <x v="1"/>
    <x v="1"/>
    <d v="2014-10-06T00:00:00"/>
    <s v="Shipping Company A"/>
    <s v="Christina Lee"/>
    <s v="123 4th Street"/>
    <x v="1"/>
    <s v="NY"/>
    <n v="99999"/>
    <s v="USA"/>
    <s v="Credit Card"/>
    <x v="23"/>
    <x v="6"/>
    <n v="81"/>
    <n v="82"/>
    <x v="240"/>
    <n v="697.41000000000008"/>
  </r>
  <r>
    <n v="1310"/>
    <x v="120"/>
    <x v="1"/>
    <x v="1"/>
    <s v="123 4th Street"/>
    <x v="1"/>
    <x v="1"/>
    <n v="99999"/>
    <s v="USA"/>
    <x v="1"/>
    <x v="1"/>
    <d v="2014-10-06T00:00:00"/>
    <s v="Shipping Company A"/>
    <s v="Christina Lee"/>
    <s v="123 4th Street"/>
    <x v="1"/>
    <s v="NY"/>
    <n v="99999"/>
    <s v="USA"/>
    <s v="Credit Card"/>
    <x v="24"/>
    <x v="14"/>
    <n v="7"/>
    <n v="29"/>
    <x v="241"/>
    <n v="20.3"/>
  </r>
  <r>
    <n v="1312"/>
    <x v="111"/>
    <x v="3"/>
    <x v="3"/>
    <s v="123 8th Street"/>
    <x v="2"/>
    <x v="2"/>
    <n v="99999"/>
    <s v="USA"/>
    <x v="2"/>
    <x v="2"/>
    <d v="2014-10-10T00:00:00"/>
    <s v="Shipping Company C"/>
    <s v="Elizabeth Andersen"/>
    <s v="123 8th Street"/>
    <x v="2"/>
    <s v="OR"/>
    <n v="99999"/>
    <s v="USA"/>
    <s v="Credit Card"/>
    <x v="15"/>
    <x v="10"/>
    <n v="34.799999999999997"/>
    <n v="93"/>
    <x v="242"/>
    <n v="313.93079999999998"/>
  </r>
  <r>
    <n v="1315"/>
    <x v="121"/>
    <x v="5"/>
    <x v="5"/>
    <s v="123 3rd Street"/>
    <x v="4"/>
    <x v="4"/>
    <n v="99999"/>
    <s v="USA"/>
    <x v="0"/>
    <x v="0"/>
    <d v="2014-10-05T00:00:00"/>
    <s v="Shipping Company B"/>
    <s v="Thomas Axerr"/>
    <s v="123 3rd Street"/>
    <x v="4"/>
    <s v="CA"/>
    <n v="99999"/>
    <s v="USA"/>
    <s v="Cash"/>
    <x v="16"/>
    <x v="7"/>
    <n v="10"/>
    <n v="11"/>
    <x v="243"/>
    <n v="11.440000000000001"/>
  </r>
  <r>
    <n v="1316"/>
    <x v="121"/>
    <x v="5"/>
    <x v="5"/>
    <s v="123 3rd Street"/>
    <x v="4"/>
    <x v="4"/>
    <n v="99999"/>
    <s v="USA"/>
    <x v="0"/>
    <x v="0"/>
    <d v="2014-10-05T00:00:00"/>
    <s v="Shipping Company B"/>
    <s v="Thomas Axerr"/>
    <s v="123 3rd Street"/>
    <x v="4"/>
    <s v="CA"/>
    <n v="99999"/>
    <s v="USA"/>
    <s v="Cash"/>
    <x v="9"/>
    <x v="5"/>
    <n v="40"/>
    <n v="91"/>
    <x v="157"/>
    <n v="364"/>
  </r>
  <r>
    <n v="1320"/>
    <x v="112"/>
    <x v="8"/>
    <x v="8"/>
    <s v="123 10th Street"/>
    <x v="7"/>
    <x v="7"/>
    <n v="99999"/>
    <s v="USA"/>
    <x v="6"/>
    <x v="1"/>
    <d v="2014-10-12T00:00:00"/>
    <s v="Shipping Company B"/>
    <s v="Roland Wacker"/>
    <s v="123 10th Street"/>
    <x v="7"/>
    <s v="IL"/>
    <n v="99999"/>
    <s v="USA"/>
    <s v="Credit Card"/>
    <x v="18"/>
    <x v="1"/>
    <n v="10"/>
    <n v="12"/>
    <x v="244"/>
    <n v="12.36"/>
  </r>
  <r>
    <n v="1322"/>
    <x v="112"/>
    <x v="8"/>
    <x v="8"/>
    <s v="123 10th Street"/>
    <x v="7"/>
    <x v="7"/>
    <n v="99999"/>
    <s v="USA"/>
    <x v="6"/>
    <x v="1"/>
    <m/>
    <s v="Shipping Company A"/>
    <s v="Roland Wacker"/>
    <s v="123 10th Street"/>
    <x v="7"/>
    <s v="IL"/>
    <n v="99999"/>
    <s v="USA"/>
    <m/>
    <x v="1"/>
    <x v="1"/>
    <n v="3.5"/>
    <n v="78"/>
    <x v="214"/>
    <n v="27.3"/>
  </r>
  <r>
    <n v="1323"/>
    <x v="114"/>
    <x v="10"/>
    <x v="10"/>
    <s v="123 11th Street"/>
    <x v="9"/>
    <x v="9"/>
    <n v="99999"/>
    <s v="USA"/>
    <x v="5"/>
    <x v="3"/>
    <m/>
    <s v="Shipping Company C"/>
    <s v="Peter Krschne"/>
    <s v="123 11th Street"/>
    <x v="9"/>
    <s v="FL"/>
    <n v="99999"/>
    <s v="USA"/>
    <m/>
    <x v="9"/>
    <x v="5"/>
    <n v="40"/>
    <n v="60"/>
    <x v="245"/>
    <n v="228"/>
  </r>
  <r>
    <n v="1324"/>
    <x v="115"/>
    <x v="11"/>
    <x v="11"/>
    <s v="123 1st Street"/>
    <x v="10"/>
    <x v="10"/>
    <n v="99999"/>
    <s v="USA"/>
    <x v="2"/>
    <x v="2"/>
    <m/>
    <s v="Shipping Company C"/>
    <s v="Anna Bedecs"/>
    <s v="123 1st Street"/>
    <x v="10"/>
    <s v="WA"/>
    <n v="99999"/>
    <s v="USA"/>
    <m/>
    <x v="13"/>
    <x v="8"/>
    <n v="18.399999999999999"/>
    <n v="23"/>
    <x v="246"/>
    <n v="43.589600000000004"/>
  </r>
  <r>
    <n v="1325"/>
    <x v="110"/>
    <x v="7"/>
    <x v="7"/>
    <s v="789 28th Street"/>
    <x v="6"/>
    <x v="6"/>
    <n v="99999"/>
    <s v="USA"/>
    <x v="5"/>
    <x v="3"/>
    <d v="2014-10-30T00:00:00"/>
    <s v="Shipping Company C"/>
    <s v="Amritansh Raghav"/>
    <s v="789 28th Street"/>
    <x v="6"/>
    <s v="TN"/>
    <n v="99999"/>
    <s v="USA"/>
    <s v="Credit Card"/>
    <x v="5"/>
    <x v="0"/>
    <n v="46"/>
    <n v="34"/>
    <x v="247"/>
    <n v="157.964"/>
  </r>
  <r>
    <n v="1326"/>
    <x v="116"/>
    <x v="12"/>
    <x v="12"/>
    <s v="123 9th Street"/>
    <x v="11"/>
    <x v="11"/>
    <n v="99999"/>
    <s v="USA"/>
    <x v="7"/>
    <x v="0"/>
    <d v="2014-10-11T00:00:00"/>
    <s v="Shipping Company A"/>
    <s v="Sven Mortensen"/>
    <s v="123 9th Street"/>
    <x v="11"/>
    <s v="UT"/>
    <n v="99999"/>
    <s v="USA"/>
    <s v="Check"/>
    <x v="8"/>
    <x v="4"/>
    <n v="9.65"/>
    <n v="89"/>
    <x v="248"/>
    <n v="86.743850000000009"/>
  </r>
  <r>
    <n v="1327"/>
    <x v="109"/>
    <x v="6"/>
    <x v="6"/>
    <s v="123 6th Street"/>
    <x v="5"/>
    <x v="5"/>
    <n v="99999"/>
    <s v="USA"/>
    <x v="4"/>
    <x v="2"/>
    <d v="2014-10-08T00:00:00"/>
    <s v="Shipping Company B"/>
    <s v="Francisco Pérez-Olaeta"/>
    <s v="123 6th Street"/>
    <x v="5"/>
    <s v="WI"/>
    <n v="99999"/>
    <s v="USA"/>
    <s v="Credit Card"/>
    <x v="7"/>
    <x v="3"/>
    <n v="12.75"/>
    <n v="82"/>
    <x v="249"/>
    <n v="103.50450000000001"/>
  </r>
  <r>
    <n v="1328"/>
    <x v="111"/>
    <x v="3"/>
    <x v="3"/>
    <s v="123 8th Street"/>
    <x v="2"/>
    <x v="2"/>
    <n v="99999"/>
    <s v="USA"/>
    <x v="2"/>
    <x v="2"/>
    <d v="2014-10-10T00:00:00"/>
    <s v="Shipping Company B"/>
    <s v="Elizabeth Andersen"/>
    <s v="123 8th Street"/>
    <x v="2"/>
    <s v="OR"/>
    <n v="99999"/>
    <s v="USA"/>
    <s v="Check"/>
    <x v="7"/>
    <x v="3"/>
    <n v="12.75"/>
    <n v="43"/>
    <x v="250"/>
    <n v="52.631999999999998"/>
  </r>
  <r>
    <n v="1329"/>
    <x v="122"/>
    <x v="8"/>
    <x v="8"/>
    <s v="123 10th Street"/>
    <x v="7"/>
    <x v="7"/>
    <n v="99999"/>
    <s v="USA"/>
    <x v="6"/>
    <x v="1"/>
    <d v="2014-11-12T00:00:00"/>
    <s v="Shipping Company A"/>
    <s v="Roland Wacker"/>
    <s v="123 10th Street"/>
    <x v="7"/>
    <s v="IL"/>
    <n v="99999"/>
    <s v="USA"/>
    <m/>
    <x v="12"/>
    <x v="7"/>
    <n v="22"/>
    <n v="96"/>
    <x v="251"/>
    <n v="221.76000000000002"/>
  </r>
  <r>
    <n v="1330"/>
    <x v="122"/>
    <x v="8"/>
    <x v="8"/>
    <s v="123 10th Street"/>
    <x v="7"/>
    <x v="7"/>
    <n v="99999"/>
    <s v="USA"/>
    <x v="6"/>
    <x v="1"/>
    <d v="2014-11-12T00:00:00"/>
    <s v="Shipping Company A"/>
    <s v="Roland Wacker"/>
    <s v="123 10th Street"/>
    <x v="7"/>
    <s v="IL"/>
    <n v="99999"/>
    <s v="USA"/>
    <m/>
    <x v="6"/>
    <x v="2"/>
    <n v="9.1999999999999993"/>
    <n v="34"/>
    <x v="252"/>
    <n v="31.279999999999998"/>
  </r>
  <r>
    <n v="1331"/>
    <x v="123"/>
    <x v="10"/>
    <x v="10"/>
    <s v="123 11th Street"/>
    <x v="9"/>
    <x v="9"/>
    <n v="99999"/>
    <s v="USA"/>
    <x v="5"/>
    <x v="3"/>
    <m/>
    <s v="Shipping Company C"/>
    <s v="Peter Krschne"/>
    <s v="123 11th Street"/>
    <x v="9"/>
    <s v="FL"/>
    <n v="99999"/>
    <s v="USA"/>
    <m/>
    <x v="1"/>
    <x v="1"/>
    <n v="3.5"/>
    <n v="42"/>
    <x v="253"/>
    <n v="15.141000000000002"/>
  </r>
  <r>
    <n v="1332"/>
    <x v="123"/>
    <x v="10"/>
    <x v="10"/>
    <s v="123 11th Street"/>
    <x v="9"/>
    <x v="9"/>
    <n v="99999"/>
    <s v="USA"/>
    <x v="5"/>
    <x v="3"/>
    <m/>
    <s v="Shipping Company C"/>
    <s v="Peter Krschne"/>
    <s v="123 11th Street"/>
    <x v="9"/>
    <s v="FL"/>
    <n v="99999"/>
    <s v="USA"/>
    <m/>
    <x v="10"/>
    <x v="0"/>
    <n v="2.99"/>
    <n v="100"/>
    <x v="254"/>
    <n v="30.498000000000001"/>
  </r>
  <r>
    <n v="1333"/>
    <x v="124"/>
    <x v="11"/>
    <x v="11"/>
    <s v="123 1st Street"/>
    <x v="10"/>
    <x v="10"/>
    <n v="99999"/>
    <s v="USA"/>
    <x v="2"/>
    <x v="2"/>
    <m/>
    <m/>
    <s v="Anna Bedecs"/>
    <s v="123 1st Street"/>
    <x v="10"/>
    <s v="WA"/>
    <n v="99999"/>
    <s v="USA"/>
    <m/>
    <x v="4"/>
    <x v="0"/>
    <n v="18"/>
    <n v="42"/>
    <x v="21"/>
    <n v="76.356000000000009"/>
  </r>
  <r>
    <n v="1334"/>
    <x v="124"/>
    <x v="11"/>
    <x v="11"/>
    <s v="123 1st Street"/>
    <x v="10"/>
    <x v="10"/>
    <n v="99999"/>
    <s v="USA"/>
    <x v="2"/>
    <x v="2"/>
    <m/>
    <m/>
    <s v="Anna Bedecs"/>
    <s v="123 1st Street"/>
    <x v="10"/>
    <s v="WA"/>
    <n v="99999"/>
    <s v="USA"/>
    <m/>
    <x v="5"/>
    <x v="0"/>
    <n v="46"/>
    <n v="16"/>
    <x v="129"/>
    <n v="70.656000000000006"/>
  </r>
  <r>
    <n v="1335"/>
    <x v="124"/>
    <x v="11"/>
    <x v="11"/>
    <s v="123 1st Street"/>
    <x v="10"/>
    <x v="10"/>
    <n v="99999"/>
    <s v="USA"/>
    <x v="2"/>
    <x v="2"/>
    <m/>
    <m/>
    <s v="Anna Bedecs"/>
    <s v="123 1st Street"/>
    <x v="10"/>
    <s v="WA"/>
    <n v="99999"/>
    <s v="USA"/>
    <m/>
    <x v="10"/>
    <x v="0"/>
    <n v="2.99"/>
    <n v="22"/>
    <x v="255"/>
    <n v="6.3806599999999998"/>
  </r>
  <r>
    <n v="1336"/>
    <x v="125"/>
    <x v="7"/>
    <x v="7"/>
    <s v="789 28th Street"/>
    <x v="6"/>
    <x v="6"/>
    <n v="99999"/>
    <s v="USA"/>
    <x v="5"/>
    <x v="3"/>
    <d v="2014-11-30T00:00:00"/>
    <s v="Shipping Company C"/>
    <s v="Amritansh Raghav"/>
    <s v="789 28th Street"/>
    <x v="6"/>
    <s v="TN"/>
    <n v="99999"/>
    <s v="USA"/>
    <s v="Credit Card"/>
    <x v="8"/>
    <x v="4"/>
    <n v="9.65"/>
    <n v="46"/>
    <x v="256"/>
    <n v="45.721700000000006"/>
  </r>
  <r>
    <n v="1337"/>
    <x v="125"/>
    <x v="7"/>
    <x v="7"/>
    <s v="789 28th Street"/>
    <x v="6"/>
    <x v="6"/>
    <n v="99999"/>
    <s v="USA"/>
    <x v="5"/>
    <x v="3"/>
    <n v="41973"/>
    <s v="Shipping Company C"/>
    <s v="Amritansh Raghav"/>
    <s v="789 28th Street"/>
    <x v="6"/>
    <s v="TN"/>
    <n v="99999"/>
    <s v="USA"/>
    <s v="Credit Card"/>
    <x v="13"/>
    <x v="8"/>
    <n v="18.399999999999999"/>
    <n v="100"/>
    <x v="257"/>
    <n v="184"/>
  </r>
  <r>
    <n v="1338"/>
    <x v="126"/>
    <x v="12"/>
    <x v="12"/>
    <s v="123 9th Street"/>
    <x v="11"/>
    <x v="11"/>
    <n v="99999"/>
    <s v="USA"/>
    <x v="7"/>
    <x v="0"/>
    <n v="41954"/>
    <s v="Shipping Company A"/>
    <s v="Sven Mortensen"/>
    <s v="123 9th Street"/>
    <x v="11"/>
    <s v="UT"/>
    <n v="99999"/>
    <s v="USA"/>
    <s v="Check"/>
    <x v="14"/>
    <x v="9"/>
    <n v="19.5"/>
    <n v="87"/>
    <x v="258"/>
    <n v="174.73950000000002"/>
  </r>
  <r>
    <n v="1339"/>
    <x v="126"/>
    <x v="12"/>
    <x v="12"/>
    <s v="123 9th Street"/>
    <x v="11"/>
    <x v="11"/>
    <n v="99999"/>
    <s v="USA"/>
    <x v="7"/>
    <x v="0"/>
    <n v="41954"/>
    <s v="Shipping Company A"/>
    <s v="Sven Mortensen"/>
    <s v="123 9th Street"/>
    <x v="11"/>
    <s v="UT"/>
    <n v="99999"/>
    <s v="USA"/>
    <s v="Check"/>
    <x v="15"/>
    <x v="10"/>
    <n v="34.799999999999997"/>
    <n v="58"/>
    <x v="259"/>
    <n v="205.8768"/>
  </r>
  <r>
    <n v="1340"/>
    <x v="127"/>
    <x v="6"/>
    <x v="6"/>
    <s v="123 6th Street"/>
    <x v="5"/>
    <x v="5"/>
    <n v="99999"/>
    <s v="USA"/>
    <x v="4"/>
    <x v="2"/>
    <n v="41951"/>
    <s v="Shipping Company B"/>
    <s v="Francisco Pérez-Olaeta"/>
    <s v="123 6th Street"/>
    <x v="5"/>
    <s v="WI"/>
    <n v="99999"/>
    <s v="USA"/>
    <s v="Credit Card"/>
    <x v="0"/>
    <x v="0"/>
    <n v="14"/>
    <n v="85"/>
    <x v="260"/>
    <n v="120.19"/>
  </r>
  <r>
    <n v="1341"/>
    <x v="128"/>
    <x v="3"/>
    <x v="3"/>
    <s v="123 8th Street"/>
    <x v="2"/>
    <x v="2"/>
    <n v="99999"/>
    <s v="USA"/>
    <x v="2"/>
    <x v="2"/>
    <n v="41953"/>
    <s v="Shipping Company B"/>
    <s v="Elizabeth Andersen"/>
    <s v="123 8th Street"/>
    <x v="2"/>
    <s v="OR"/>
    <n v="99999"/>
    <s v="USA"/>
    <s v="Check"/>
    <x v="9"/>
    <x v="5"/>
    <n v="40"/>
    <n v="28"/>
    <x v="139"/>
    <n v="110.88"/>
  </r>
  <r>
    <n v="1342"/>
    <x v="128"/>
    <x v="3"/>
    <x v="3"/>
    <s v="123 8th Street"/>
    <x v="2"/>
    <x v="2"/>
    <n v="99999"/>
    <s v="USA"/>
    <x v="2"/>
    <x v="2"/>
    <d v="2014-11-10T00:00:00"/>
    <s v="Shipping Company B"/>
    <s v="Elizabeth Andersen"/>
    <s v="123 8th Street"/>
    <x v="2"/>
    <s v="OR"/>
    <n v="99999"/>
    <s v="USA"/>
    <s v="Check"/>
    <x v="6"/>
    <x v="2"/>
    <n v="9.1999999999999993"/>
    <n v="19"/>
    <x v="261"/>
    <n v="17.130400000000002"/>
  </r>
  <r>
    <n v="1343"/>
    <x v="129"/>
    <x v="13"/>
    <x v="13"/>
    <s v="789 25th Street"/>
    <x v="7"/>
    <x v="7"/>
    <n v="99999"/>
    <s v="USA"/>
    <x v="6"/>
    <x v="1"/>
    <d v="2014-11-27T00:00:00"/>
    <s v="Shipping Company A"/>
    <s v="John Rodman"/>
    <s v="789 25th Street"/>
    <x v="7"/>
    <s v="IL"/>
    <n v="99999"/>
    <s v="USA"/>
    <s v="Cash"/>
    <x v="21"/>
    <x v="2"/>
    <n v="10"/>
    <n v="99"/>
    <x v="82"/>
    <n v="102.96000000000001"/>
  </r>
  <r>
    <n v="1344"/>
    <x v="130"/>
    <x v="14"/>
    <x v="14"/>
    <s v="789 26th Street"/>
    <x v="9"/>
    <x v="9"/>
    <n v="99999"/>
    <s v="USA"/>
    <x v="5"/>
    <x v="3"/>
    <d v="2014-11-28T00:00:00"/>
    <s v="Shipping Company C"/>
    <s v="Run Liu"/>
    <s v="789 26th Street"/>
    <x v="9"/>
    <s v="FL"/>
    <n v="99999"/>
    <s v="USA"/>
    <s v="Credit Card"/>
    <x v="22"/>
    <x v="13"/>
    <n v="21.35"/>
    <n v="69"/>
    <x v="262"/>
    <n v="153.20760000000004"/>
  </r>
  <r>
    <n v="1345"/>
    <x v="130"/>
    <x v="14"/>
    <x v="14"/>
    <s v="789 26th Street"/>
    <x v="9"/>
    <x v="9"/>
    <n v="99999"/>
    <s v="USA"/>
    <x v="5"/>
    <x v="3"/>
    <d v="2014-11-28T00:00:00"/>
    <s v="Shipping Company C"/>
    <s v="Run Liu"/>
    <s v="789 26th Street"/>
    <x v="9"/>
    <s v="FL"/>
    <n v="99999"/>
    <s v="USA"/>
    <s v="Credit Card"/>
    <x v="8"/>
    <x v="4"/>
    <n v="9.65"/>
    <n v="37"/>
    <x v="263"/>
    <n v="33.919750000000001"/>
  </r>
  <r>
    <n v="1346"/>
    <x v="130"/>
    <x v="14"/>
    <x v="14"/>
    <s v="789 26th Street"/>
    <x v="9"/>
    <x v="9"/>
    <n v="99999"/>
    <s v="USA"/>
    <x v="5"/>
    <x v="3"/>
    <d v="2014-11-28T00:00:00"/>
    <s v="Shipping Company C"/>
    <s v="Run Liu"/>
    <s v="789 26th Street"/>
    <x v="9"/>
    <s v="FL"/>
    <n v="99999"/>
    <s v="USA"/>
    <s v="Credit Card"/>
    <x v="13"/>
    <x v="8"/>
    <n v="18.399999999999999"/>
    <n v="64"/>
    <x v="107"/>
    <n v="118.93759999999999"/>
  </r>
  <r>
    <n v="1347"/>
    <x v="131"/>
    <x v="4"/>
    <x v="4"/>
    <s v="789 29th Street"/>
    <x v="3"/>
    <x v="3"/>
    <n v="99999"/>
    <s v="USA"/>
    <x v="3"/>
    <x v="0"/>
    <d v="2014-12-01T00:00:00"/>
    <s v="Shipping Company B"/>
    <s v="Soo Jung Lee"/>
    <s v="789 29th Street"/>
    <x v="3"/>
    <s v="CO"/>
    <n v="99999"/>
    <s v="USA"/>
    <s v="Check"/>
    <x v="0"/>
    <x v="0"/>
    <n v="14"/>
    <n v="38"/>
    <x v="197"/>
    <n v="55.328000000000003"/>
  </r>
  <r>
    <n v="1348"/>
    <x v="127"/>
    <x v="6"/>
    <x v="6"/>
    <s v="123 6th Street"/>
    <x v="5"/>
    <x v="5"/>
    <n v="99999"/>
    <s v="USA"/>
    <x v="4"/>
    <x v="2"/>
    <d v="2014-11-08T00:00:00"/>
    <s v="Shipping Company C"/>
    <s v="Francisco Pérez-Olaeta"/>
    <s v="123 6th Street"/>
    <x v="5"/>
    <s v="WI"/>
    <n v="99999"/>
    <s v="USA"/>
    <s v="Check"/>
    <x v="7"/>
    <x v="3"/>
    <n v="12.75"/>
    <n v="15"/>
    <x v="264"/>
    <n v="18.55125"/>
  </r>
  <r>
    <n v="1350"/>
    <x v="132"/>
    <x v="1"/>
    <x v="1"/>
    <s v="123 4th Street"/>
    <x v="1"/>
    <x v="1"/>
    <n v="99999"/>
    <s v="USA"/>
    <x v="1"/>
    <x v="1"/>
    <d v="2014-11-06T00:00:00"/>
    <s v="Shipping Company A"/>
    <s v="Christina Lee"/>
    <s v="123 4th Street"/>
    <x v="1"/>
    <s v="NY"/>
    <n v="99999"/>
    <s v="USA"/>
    <s v="Credit Card"/>
    <x v="23"/>
    <x v="6"/>
    <n v="81"/>
    <n v="52"/>
    <x v="265"/>
    <n v="412.77600000000001"/>
  </r>
  <r>
    <n v="1351"/>
    <x v="132"/>
    <x v="1"/>
    <x v="1"/>
    <s v="123 4th Street"/>
    <x v="1"/>
    <x v="1"/>
    <n v="99999"/>
    <s v="USA"/>
    <x v="1"/>
    <x v="1"/>
    <d v="2014-11-06T00:00:00"/>
    <s v="Shipping Company A"/>
    <s v="Christina Lee"/>
    <s v="123 4th Street"/>
    <x v="1"/>
    <s v="NY"/>
    <n v="99999"/>
    <s v="USA"/>
    <s v="Credit Card"/>
    <x v="24"/>
    <x v="14"/>
    <n v="7"/>
    <n v="37"/>
    <x v="58"/>
    <n v="25.382000000000001"/>
  </r>
  <r>
    <n v="1353"/>
    <x v="128"/>
    <x v="3"/>
    <x v="3"/>
    <s v="123 8th Street"/>
    <x v="2"/>
    <x v="2"/>
    <n v="99999"/>
    <s v="USA"/>
    <x v="2"/>
    <x v="2"/>
    <d v="2014-11-10T00:00:00"/>
    <s v="Shipping Company C"/>
    <s v="Elizabeth Andersen"/>
    <s v="123 8th Street"/>
    <x v="2"/>
    <s v="OR"/>
    <n v="99999"/>
    <s v="USA"/>
    <s v="Credit Card"/>
    <x v="15"/>
    <x v="10"/>
    <n v="34.799999999999997"/>
    <n v="24"/>
    <x v="266"/>
    <n v="80.179199999999994"/>
  </r>
  <r>
    <n v="1356"/>
    <x v="133"/>
    <x v="5"/>
    <x v="5"/>
    <s v="123 3rd Street"/>
    <x v="4"/>
    <x v="4"/>
    <n v="99999"/>
    <s v="USA"/>
    <x v="0"/>
    <x v="0"/>
    <d v="2014-11-05T00:00:00"/>
    <s v="Shipping Company B"/>
    <s v="Thomas Axerr"/>
    <s v="123 3rd Street"/>
    <x v="4"/>
    <s v="CA"/>
    <n v="99999"/>
    <s v="USA"/>
    <s v="Cash"/>
    <x v="16"/>
    <x v="7"/>
    <n v="10"/>
    <n v="36"/>
    <x v="267"/>
    <n v="37.08"/>
  </r>
  <r>
    <n v="1357"/>
    <x v="133"/>
    <x v="5"/>
    <x v="5"/>
    <s v="123 3rd Street"/>
    <x v="4"/>
    <x v="4"/>
    <n v="99999"/>
    <s v="USA"/>
    <x v="0"/>
    <x v="0"/>
    <d v="2014-11-05T00:00:00"/>
    <s v="Shipping Company B"/>
    <s v="Thomas Axerr"/>
    <s v="123 3rd Street"/>
    <x v="4"/>
    <s v="CA"/>
    <n v="99999"/>
    <s v="USA"/>
    <s v="Cash"/>
    <x v="9"/>
    <x v="5"/>
    <n v="40"/>
    <n v="24"/>
    <x v="268"/>
    <n v="96"/>
  </r>
  <r>
    <n v="1361"/>
    <x v="122"/>
    <x v="8"/>
    <x v="8"/>
    <s v="123 10th Street"/>
    <x v="7"/>
    <x v="7"/>
    <n v="99999"/>
    <s v="USA"/>
    <x v="6"/>
    <x v="1"/>
    <d v="2014-11-12T00:00:00"/>
    <s v="Shipping Company B"/>
    <s v="Roland Wacker"/>
    <s v="123 10th Street"/>
    <x v="7"/>
    <s v="IL"/>
    <n v="99999"/>
    <s v="USA"/>
    <s v="Credit Card"/>
    <x v="18"/>
    <x v="1"/>
    <n v="10"/>
    <n v="20"/>
    <x v="269"/>
    <n v="20"/>
  </r>
  <r>
    <n v="1363"/>
    <x v="122"/>
    <x v="8"/>
    <x v="8"/>
    <s v="123 10th Street"/>
    <x v="7"/>
    <x v="7"/>
    <n v="99999"/>
    <s v="USA"/>
    <x v="6"/>
    <x v="1"/>
    <m/>
    <s v="Shipping Company A"/>
    <s v="Roland Wacker"/>
    <s v="123 10th Street"/>
    <x v="7"/>
    <s v="IL"/>
    <n v="99999"/>
    <s v="USA"/>
    <m/>
    <x v="1"/>
    <x v="1"/>
    <n v="3.5"/>
    <n v="11"/>
    <x v="4"/>
    <n v="3.7345000000000002"/>
  </r>
  <r>
    <n v="1364"/>
    <x v="123"/>
    <x v="10"/>
    <x v="10"/>
    <s v="123 11th Street"/>
    <x v="9"/>
    <x v="9"/>
    <n v="99999"/>
    <s v="USA"/>
    <x v="5"/>
    <x v="3"/>
    <m/>
    <s v="Shipping Company C"/>
    <s v="Peter Krschne"/>
    <s v="123 11th Street"/>
    <x v="9"/>
    <s v="FL"/>
    <n v="99999"/>
    <s v="USA"/>
    <m/>
    <x v="9"/>
    <x v="5"/>
    <n v="40"/>
    <n v="78"/>
    <x v="189"/>
    <n v="299.52"/>
  </r>
  <r>
    <n v="1365"/>
    <x v="124"/>
    <x v="11"/>
    <x v="11"/>
    <s v="123 1st Street"/>
    <x v="10"/>
    <x v="10"/>
    <n v="99999"/>
    <s v="USA"/>
    <x v="2"/>
    <x v="2"/>
    <m/>
    <s v="Shipping Company C"/>
    <s v="Anna Bedecs"/>
    <s v="123 1st Street"/>
    <x v="10"/>
    <s v="WA"/>
    <n v="99999"/>
    <s v="USA"/>
    <m/>
    <x v="13"/>
    <x v="8"/>
    <n v="18.399999999999999"/>
    <n v="76"/>
    <x v="270"/>
    <n v="144.0352"/>
  </r>
  <r>
    <n v="1366"/>
    <x v="125"/>
    <x v="7"/>
    <x v="7"/>
    <s v="789 28th Street"/>
    <x v="6"/>
    <x v="6"/>
    <n v="99999"/>
    <s v="USA"/>
    <x v="5"/>
    <x v="3"/>
    <d v="2014-11-30T00:00:00"/>
    <s v="Shipping Company C"/>
    <s v="Amritansh Raghav"/>
    <s v="789 28th Street"/>
    <x v="6"/>
    <s v="TN"/>
    <n v="99999"/>
    <s v="USA"/>
    <s v="Credit Card"/>
    <x v="5"/>
    <x v="0"/>
    <n v="46"/>
    <n v="57"/>
    <x v="271"/>
    <n v="272.68799999999999"/>
  </r>
  <r>
    <n v="1367"/>
    <x v="126"/>
    <x v="12"/>
    <x v="12"/>
    <s v="123 9th Street"/>
    <x v="11"/>
    <x v="11"/>
    <n v="99999"/>
    <s v="USA"/>
    <x v="7"/>
    <x v="0"/>
    <d v="2014-11-11T00:00:00"/>
    <s v="Shipping Company A"/>
    <s v="Sven Mortensen"/>
    <s v="123 9th Street"/>
    <x v="11"/>
    <s v="UT"/>
    <n v="99999"/>
    <s v="USA"/>
    <s v="Check"/>
    <x v="8"/>
    <x v="4"/>
    <n v="9.65"/>
    <n v="14"/>
    <x v="272"/>
    <n v="12.9696"/>
  </r>
  <r>
    <n v="1368"/>
    <x v="134"/>
    <x v="0"/>
    <x v="0"/>
    <s v="789 27th Street"/>
    <x v="0"/>
    <x v="0"/>
    <n v="99999"/>
    <s v="USA"/>
    <x v="0"/>
    <x v="0"/>
    <d v="2014-12-29T00:00:00"/>
    <s v="Shipping Company B"/>
    <s v="Karen Toh"/>
    <s v="789 27th Street"/>
    <x v="0"/>
    <s v="NV"/>
    <n v="99999"/>
    <s v="USA"/>
    <s v="Check"/>
    <x v="0"/>
    <x v="0"/>
    <n v="14"/>
    <n v="14"/>
    <x v="273"/>
    <n v="19.796000000000003"/>
  </r>
  <r>
    <n v="1369"/>
    <x v="134"/>
    <x v="0"/>
    <x v="0"/>
    <s v="789 27th Street"/>
    <x v="0"/>
    <x v="0"/>
    <n v="99999"/>
    <s v="USA"/>
    <x v="0"/>
    <x v="0"/>
    <d v="2014-12-29T00:00:00"/>
    <s v="Shipping Company B"/>
    <s v="Karen Toh"/>
    <s v="789 27th Street"/>
    <x v="0"/>
    <s v="NV"/>
    <n v="99999"/>
    <s v="USA"/>
    <s v="Check"/>
    <x v="1"/>
    <x v="1"/>
    <n v="3.5"/>
    <n v="70"/>
    <x v="274"/>
    <n v="25.234999999999999"/>
  </r>
  <r>
    <n v="1370"/>
    <x v="135"/>
    <x v="1"/>
    <x v="1"/>
    <s v="123 4th Street"/>
    <x v="1"/>
    <x v="1"/>
    <n v="99999"/>
    <s v="USA"/>
    <x v="1"/>
    <x v="1"/>
    <d v="2014-12-06T00:00:00"/>
    <s v="Shipping Company A"/>
    <s v="Christina Lee"/>
    <s v="123 4th Street"/>
    <x v="1"/>
    <s v="NY"/>
    <n v="99999"/>
    <s v="USA"/>
    <s v="Credit Card"/>
    <x v="2"/>
    <x v="1"/>
    <n v="30"/>
    <n v="100"/>
    <x v="275"/>
    <n v="291"/>
  </r>
  <r>
    <n v="1371"/>
    <x v="135"/>
    <x v="1"/>
    <x v="1"/>
    <s v="123 4th Street"/>
    <x v="1"/>
    <x v="1"/>
    <n v="99999"/>
    <s v="USA"/>
    <x v="1"/>
    <x v="1"/>
    <d v="2014-12-06T00:00:00"/>
    <s v="Shipping Company A"/>
    <s v="Christina Lee"/>
    <s v="123 4th Street"/>
    <x v="1"/>
    <s v="NY"/>
    <n v="99999"/>
    <s v="USA"/>
    <s v="Credit Card"/>
    <x v="3"/>
    <x v="1"/>
    <n v="53"/>
    <n v="27"/>
    <x v="276"/>
    <n v="143.1"/>
  </r>
  <r>
    <n v="1372"/>
    <x v="135"/>
    <x v="1"/>
    <x v="1"/>
    <s v="123 4th Street"/>
    <x v="1"/>
    <x v="1"/>
    <n v="99999"/>
    <s v="USA"/>
    <x v="1"/>
    <x v="1"/>
    <d v="2014-12-06T00:00:00"/>
    <s v="Shipping Company A"/>
    <s v="Christina Lee"/>
    <s v="123 4th Street"/>
    <x v="1"/>
    <s v="NY"/>
    <n v="99999"/>
    <s v="USA"/>
    <s v="Credit Card"/>
    <x v="1"/>
    <x v="1"/>
    <n v="3.5"/>
    <n v="70"/>
    <x v="274"/>
    <n v="24.009999999999998"/>
  </r>
  <r>
    <n v="1373"/>
    <x v="136"/>
    <x v="2"/>
    <x v="2"/>
    <s v="123 12th Street"/>
    <x v="0"/>
    <x v="0"/>
    <n v="99999"/>
    <s v="USA"/>
    <x v="0"/>
    <x v="0"/>
    <d v="2014-12-14T00:00:00"/>
    <s v="Shipping Company B"/>
    <s v="John Edwards"/>
    <s v="123 12th Street"/>
    <x v="0"/>
    <s v="NV"/>
    <n v="99999"/>
    <s v="USA"/>
    <s v="Credit Card"/>
    <x v="4"/>
    <x v="0"/>
    <n v="18"/>
    <n v="57"/>
    <x v="277"/>
    <n v="102.60000000000001"/>
  </r>
  <r>
    <n v="1374"/>
    <x v="136"/>
    <x v="2"/>
    <x v="2"/>
    <s v="123 12th Street"/>
    <x v="0"/>
    <x v="0"/>
    <n v="99999"/>
    <s v="USA"/>
    <x v="0"/>
    <x v="0"/>
    <d v="2014-12-14T00:00:00"/>
    <s v="Shipping Company B"/>
    <s v="John Edwards"/>
    <s v="123 12th Street"/>
    <x v="0"/>
    <s v="NV"/>
    <n v="99999"/>
    <s v="USA"/>
    <s v="Credit Card"/>
    <x v="5"/>
    <x v="0"/>
    <n v="46"/>
    <n v="83"/>
    <x v="278"/>
    <n v="374.16399999999999"/>
  </r>
  <r>
    <n v="1375"/>
    <x v="137"/>
    <x v="3"/>
    <x v="3"/>
    <s v="123 8th Street"/>
    <x v="2"/>
    <x v="2"/>
    <n v="99999"/>
    <s v="USA"/>
    <x v="2"/>
    <x v="2"/>
    <d v="2014-12-10T00:00:00"/>
    <s v="Shipping Company C"/>
    <s v="Elizabeth Andersen"/>
    <s v="123 8th Street"/>
    <x v="2"/>
    <s v="OR"/>
    <n v="99999"/>
    <s v="USA"/>
    <s v="Credit Card"/>
    <x v="6"/>
    <x v="2"/>
    <n v="9.1999999999999993"/>
    <n v="76"/>
    <x v="279"/>
    <n v="67.123199999999997"/>
  </r>
  <r>
    <n v="1376"/>
    <x v="135"/>
    <x v="1"/>
    <x v="1"/>
    <s v="123 4th Street"/>
    <x v="1"/>
    <x v="1"/>
    <n v="99999"/>
    <s v="USA"/>
    <x v="1"/>
    <x v="1"/>
    <n v="41979"/>
    <s v="Shipping Company C"/>
    <s v="Christina Lee"/>
    <s v="123 4th Street"/>
    <x v="1"/>
    <s v="NY"/>
    <n v="99999"/>
    <s v="USA"/>
    <s v="Check"/>
    <x v="6"/>
    <x v="2"/>
    <n v="9.1999999999999993"/>
    <n v="80"/>
    <x v="129"/>
    <n v="72.864000000000004"/>
  </r>
  <r>
    <n v="1377"/>
    <x v="138"/>
    <x v="4"/>
    <x v="4"/>
    <s v="789 29th Street"/>
    <x v="3"/>
    <x v="3"/>
    <n v="99999"/>
    <s v="USA"/>
    <x v="3"/>
    <x v="0"/>
    <n v="42004"/>
    <s v="Shipping Company B"/>
    <s v="Soo Jung Lee"/>
    <s v="789 29th Street"/>
    <x v="3"/>
    <s v="CO"/>
    <n v="99999"/>
    <s v="USA"/>
    <s v="Check"/>
    <x v="7"/>
    <x v="3"/>
    <n v="12.75"/>
    <n v="47"/>
    <x v="13"/>
    <n v="59.325750000000006"/>
  </r>
  <r>
    <n v="1378"/>
    <x v="139"/>
    <x v="5"/>
    <x v="5"/>
    <s v="123 3rd Street"/>
    <x v="4"/>
    <x v="4"/>
    <n v="99999"/>
    <s v="USA"/>
    <x v="0"/>
    <x v="0"/>
    <n v="41978"/>
    <s v="Shipping Company B"/>
    <s v="Thomas Axerr"/>
    <s v="123 3rd Street"/>
    <x v="4"/>
    <s v="CA"/>
    <n v="99999"/>
    <s v="USA"/>
    <s v="Cash"/>
    <x v="8"/>
    <x v="4"/>
    <n v="9.65"/>
    <n v="96"/>
    <x v="280"/>
    <n v="94.492800000000017"/>
  </r>
  <r>
    <n v="1379"/>
    <x v="140"/>
    <x v="6"/>
    <x v="6"/>
    <s v="123 6th Street"/>
    <x v="5"/>
    <x v="5"/>
    <n v="99999"/>
    <s v="USA"/>
    <x v="4"/>
    <x v="2"/>
    <n v="41981"/>
    <s v="Shipping Company B"/>
    <s v="Francisco Pérez-Olaeta"/>
    <s v="123 6th Street"/>
    <x v="5"/>
    <s v="WI"/>
    <n v="99999"/>
    <s v="USA"/>
    <s v="Credit Card"/>
    <x v="9"/>
    <x v="5"/>
    <n v="40"/>
    <n v="32"/>
    <x v="11"/>
    <n v="134.4"/>
  </r>
  <r>
    <n v="1380"/>
    <x v="141"/>
    <x v="7"/>
    <x v="7"/>
    <s v="789 28th Street"/>
    <x v="6"/>
    <x v="6"/>
    <n v="99999"/>
    <s v="USA"/>
    <x v="5"/>
    <x v="3"/>
    <d v="2014-12-30T00:00:00"/>
    <s v="Shipping Company C"/>
    <s v="Amritansh Raghav"/>
    <s v="789 28th Street"/>
    <x v="6"/>
    <s v="TN"/>
    <n v="99999"/>
    <s v="USA"/>
    <s v="Check"/>
    <x v="5"/>
    <x v="0"/>
    <n v="46"/>
    <n v="16"/>
    <x v="129"/>
    <n v="73.600000000000009"/>
  </r>
  <r>
    <n v="1381"/>
    <x v="137"/>
    <x v="3"/>
    <x v="3"/>
    <s v="123 8th Street"/>
    <x v="2"/>
    <x v="2"/>
    <n v="99999"/>
    <s v="USA"/>
    <x v="2"/>
    <x v="2"/>
    <d v="2014-12-10T00:00:00"/>
    <s v="Shipping Company C"/>
    <s v="Elizabeth Andersen"/>
    <s v="123 8th Street"/>
    <x v="2"/>
    <s v="OR"/>
    <n v="99999"/>
    <s v="USA"/>
    <s v="Check"/>
    <x v="7"/>
    <x v="3"/>
    <n v="12.75"/>
    <n v="41"/>
    <x v="87"/>
    <n v="51.229500000000002"/>
  </r>
  <r>
    <n v="1382"/>
    <x v="142"/>
    <x v="8"/>
    <x v="8"/>
    <s v="123 10th Street"/>
    <x v="7"/>
    <x v="7"/>
    <n v="99999"/>
    <s v="USA"/>
    <x v="6"/>
    <x v="1"/>
    <d v="2014-12-12T00:00:00"/>
    <s v="Shipping Company B"/>
    <s v="Roland Wacker"/>
    <s v="123 10th Street"/>
    <x v="7"/>
    <s v="IL"/>
    <n v="99999"/>
    <s v="USA"/>
    <s v="Credit Card"/>
    <x v="10"/>
    <x v="0"/>
    <n v="2.99"/>
    <n v="41"/>
    <x v="281"/>
    <n v="12.871950000000002"/>
  </r>
  <r>
    <n v="1383"/>
    <x v="143"/>
    <x v="9"/>
    <x v="9"/>
    <s v="123 7th Street"/>
    <x v="8"/>
    <x v="8"/>
    <n v="99999"/>
    <s v="USA"/>
    <x v="2"/>
    <x v="2"/>
    <m/>
    <m/>
    <s v="Ming-Yang Xie"/>
    <s v="123 7th Street"/>
    <x v="8"/>
    <s v="ID"/>
    <n v="99999"/>
    <s v="USA"/>
    <m/>
    <x v="5"/>
    <x v="0"/>
    <n v="46"/>
    <n v="41"/>
    <x v="282"/>
    <n v="194.25800000000004"/>
  </r>
  <r>
    <n v="1384"/>
    <x v="142"/>
    <x v="8"/>
    <x v="8"/>
    <s v="123 10th Street"/>
    <x v="7"/>
    <x v="7"/>
    <n v="99999"/>
    <s v="USA"/>
    <x v="6"/>
    <x v="1"/>
    <d v="2014-12-12T00:00:00"/>
    <s v="Shipping Company A"/>
    <s v="Roland Wacker"/>
    <s v="123 10th Street"/>
    <x v="7"/>
    <s v="IL"/>
    <n v="99999"/>
    <s v="USA"/>
    <m/>
    <x v="11"/>
    <x v="6"/>
    <n v="25"/>
    <n v="94"/>
    <x v="283"/>
    <n v="235"/>
  </r>
  <r>
    <n v="1385"/>
    <x v="142"/>
    <x v="8"/>
    <x v="8"/>
    <s v="123 10th Street"/>
    <x v="7"/>
    <x v="7"/>
    <n v="99999"/>
    <s v="USA"/>
    <x v="6"/>
    <x v="1"/>
    <d v="2014-12-12T00:00:00"/>
    <s v="Shipping Company A"/>
    <s v="Roland Wacker"/>
    <s v="123 10th Street"/>
    <x v="7"/>
    <s v="IL"/>
    <n v="99999"/>
    <s v="USA"/>
    <m/>
    <x v="12"/>
    <x v="7"/>
    <n v="22"/>
    <n v="20"/>
    <x v="284"/>
    <n v="46.2"/>
  </r>
  <r>
    <n v="1386"/>
    <x v="142"/>
    <x v="8"/>
    <x v="8"/>
    <s v="123 10th Street"/>
    <x v="7"/>
    <x v="7"/>
    <n v="99999"/>
    <s v="USA"/>
    <x v="6"/>
    <x v="1"/>
    <n v="41985"/>
    <s v="Shipping Company A"/>
    <s v="Roland Wacker"/>
    <s v="123 10th Street"/>
    <x v="7"/>
    <s v="IL"/>
    <n v="99999"/>
    <s v="USA"/>
    <m/>
    <x v="6"/>
    <x v="2"/>
    <n v="9.1999999999999993"/>
    <n v="13"/>
    <x v="285"/>
    <n v="12.438400000000001"/>
  </r>
  <r>
    <n v="1387"/>
    <x v="144"/>
    <x v="10"/>
    <x v="10"/>
    <s v="123 11th Street"/>
    <x v="9"/>
    <x v="9"/>
    <n v="99999"/>
    <s v="USA"/>
    <x v="5"/>
    <x v="3"/>
    <m/>
    <s v="Shipping Company C"/>
    <s v="Peter Krschne"/>
    <s v="123 11th Street"/>
    <x v="9"/>
    <s v="FL"/>
    <n v="99999"/>
    <s v="USA"/>
    <m/>
    <x v="1"/>
    <x v="1"/>
    <n v="3.5"/>
    <n v="74"/>
    <x v="58"/>
    <n v="26.936000000000003"/>
  </r>
  <r>
    <n v="1388"/>
    <x v="144"/>
    <x v="10"/>
    <x v="10"/>
    <s v="123 11th Street"/>
    <x v="9"/>
    <x v="9"/>
    <n v="99999"/>
    <s v="USA"/>
    <x v="5"/>
    <x v="3"/>
    <m/>
    <s v="Shipping Company C"/>
    <s v="Peter Krschne"/>
    <s v="123 11th Street"/>
    <x v="9"/>
    <s v="FL"/>
    <n v="99999"/>
    <s v="USA"/>
    <m/>
    <x v="10"/>
    <x v="0"/>
    <n v="2.99"/>
    <n v="53"/>
    <x v="286"/>
    <n v="16.005470000000003"/>
  </r>
  <r>
    <n v="1389"/>
    <x v="145"/>
    <x v="11"/>
    <x v="11"/>
    <s v="123 1st Street"/>
    <x v="10"/>
    <x v="10"/>
    <n v="99999"/>
    <s v="USA"/>
    <x v="2"/>
    <x v="2"/>
    <m/>
    <m/>
    <s v="Anna Bedecs"/>
    <s v="123 1st Street"/>
    <x v="10"/>
    <s v="WA"/>
    <n v="99999"/>
    <s v="USA"/>
    <m/>
    <x v="4"/>
    <x v="0"/>
    <n v="18"/>
    <n v="99"/>
    <x v="287"/>
    <n v="174.63600000000002"/>
  </r>
  <r>
    <n v="1390"/>
    <x v="145"/>
    <x v="11"/>
    <x v="11"/>
    <s v="123 1st Street"/>
    <x v="10"/>
    <x v="10"/>
    <n v="99999"/>
    <s v="USA"/>
    <x v="2"/>
    <x v="2"/>
    <m/>
    <m/>
    <s v="Anna Bedecs"/>
    <s v="123 1st Street"/>
    <x v="10"/>
    <s v="WA"/>
    <n v="99999"/>
    <s v="USA"/>
    <m/>
    <x v="5"/>
    <x v="0"/>
    <n v="46"/>
    <n v="89"/>
    <x v="288"/>
    <n v="388.93"/>
  </r>
  <r>
    <n v="1391"/>
    <x v="145"/>
    <x v="11"/>
    <x v="11"/>
    <s v="123 1st Street"/>
    <x v="10"/>
    <x v="10"/>
    <n v="99999"/>
    <s v="USA"/>
    <x v="2"/>
    <x v="2"/>
    <m/>
    <m/>
    <s v="Anna Bedecs"/>
    <s v="123 1st Street"/>
    <x v="10"/>
    <s v="WA"/>
    <n v="99999"/>
    <s v="USA"/>
    <m/>
    <x v="10"/>
    <x v="0"/>
    <n v="2.99"/>
    <n v="64"/>
    <x v="200"/>
    <n v="19.518720000000002"/>
  </r>
  <r>
    <n v="1392"/>
    <x v="141"/>
    <x v="7"/>
    <x v="7"/>
    <s v="789 28th Street"/>
    <x v="6"/>
    <x v="6"/>
    <n v="99999"/>
    <s v="USA"/>
    <x v="5"/>
    <x v="3"/>
    <d v="2014-12-30T00:00:00"/>
    <s v="Shipping Company C"/>
    <s v="Amritansh Raghav"/>
    <s v="789 28th Street"/>
    <x v="6"/>
    <s v="TN"/>
    <n v="99999"/>
    <s v="USA"/>
    <s v="Credit Card"/>
    <x v="8"/>
    <x v="4"/>
    <n v="9.65"/>
    <n v="98"/>
    <x v="289"/>
    <n v="96.461400000000012"/>
  </r>
  <r>
    <n v="1393"/>
    <x v="141"/>
    <x v="7"/>
    <x v="7"/>
    <s v="789 28th Street"/>
    <x v="6"/>
    <x v="6"/>
    <n v="99999"/>
    <s v="USA"/>
    <x v="5"/>
    <x v="3"/>
    <d v="2014-12-30T00:00:00"/>
    <s v="Shipping Company C"/>
    <s v="Amritansh Raghav"/>
    <s v="789 28th Street"/>
    <x v="6"/>
    <s v="TN"/>
    <n v="99999"/>
    <s v="USA"/>
    <s v="Credit Card"/>
    <x v="13"/>
    <x v="8"/>
    <n v="18.399999999999999"/>
    <n v="86"/>
    <x v="290"/>
    <n v="155.0752"/>
  </r>
  <r>
    <n v="1394"/>
    <x v="146"/>
    <x v="12"/>
    <x v="12"/>
    <s v="123 9th Street"/>
    <x v="11"/>
    <x v="11"/>
    <n v="99999"/>
    <s v="USA"/>
    <x v="7"/>
    <x v="0"/>
    <d v="2014-12-11T00:00:00"/>
    <s v="Shipping Company A"/>
    <s v="Sven Mortensen"/>
    <s v="123 9th Street"/>
    <x v="11"/>
    <s v="UT"/>
    <n v="99999"/>
    <s v="USA"/>
    <s v="Check"/>
    <x v="14"/>
    <x v="9"/>
    <n v="19.5"/>
    <n v="20"/>
    <x v="291"/>
    <n v="40.950000000000003"/>
  </r>
  <r>
    <n v="1395"/>
    <x v="146"/>
    <x v="12"/>
    <x v="12"/>
    <s v="123 9th Street"/>
    <x v="11"/>
    <x v="11"/>
    <n v="99999"/>
    <s v="USA"/>
    <x v="7"/>
    <x v="0"/>
    <d v="2014-12-11T00:00:00"/>
    <s v="Shipping Company A"/>
    <s v="Sven Mortensen"/>
    <s v="123 9th Street"/>
    <x v="11"/>
    <s v="UT"/>
    <n v="99999"/>
    <s v="USA"/>
    <s v="Check"/>
    <x v="15"/>
    <x v="10"/>
    <n v="34.799999999999997"/>
    <n v="69"/>
    <x v="292"/>
    <n v="240.12"/>
  </r>
  <r>
    <n v="1396"/>
    <x v="140"/>
    <x v="6"/>
    <x v="6"/>
    <s v="123 6th Street"/>
    <x v="5"/>
    <x v="5"/>
    <n v="99999"/>
    <s v="USA"/>
    <x v="4"/>
    <x v="2"/>
    <d v="2014-12-08T00:00:00"/>
    <s v="Shipping Company B"/>
    <s v="Francisco Pérez-Olaeta"/>
    <s v="123 6th Street"/>
    <x v="5"/>
    <s v="WI"/>
    <n v="99999"/>
    <s v="USA"/>
    <s v="Credit Card"/>
    <x v="0"/>
    <x v="0"/>
    <n v="14"/>
    <n v="68"/>
    <x v="293"/>
    <n v="91.391999999999996"/>
  </r>
  <r>
    <n v="1397"/>
    <x v="137"/>
    <x v="3"/>
    <x v="3"/>
    <s v="123 8th Street"/>
    <x v="2"/>
    <x v="2"/>
    <n v="99999"/>
    <s v="USA"/>
    <x v="2"/>
    <x v="2"/>
    <d v="2014-12-10T00:00:00"/>
    <s v="Shipping Company B"/>
    <s v="Elizabeth Andersen"/>
    <s v="123 8th Street"/>
    <x v="2"/>
    <s v="OR"/>
    <n v="99999"/>
    <s v="USA"/>
    <s v="Check"/>
    <x v="9"/>
    <x v="5"/>
    <n v="40"/>
    <n v="52"/>
    <x v="294"/>
    <n v="203.84"/>
  </r>
  <r>
    <n v="1398"/>
    <x v="137"/>
    <x v="3"/>
    <x v="3"/>
    <s v="123 8th Street"/>
    <x v="2"/>
    <x v="2"/>
    <n v="99999"/>
    <s v="USA"/>
    <x v="2"/>
    <x v="2"/>
    <d v="2014-12-10T00:00:00"/>
    <s v="Shipping Company B"/>
    <s v="Elizabeth Andersen"/>
    <s v="123 8th Street"/>
    <x v="2"/>
    <s v="OR"/>
    <n v="99999"/>
    <s v="USA"/>
    <s v="Check"/>
    <x v="6"/>
    <x v="2"/>
    <n v="9.1999999999999993"/>
    <n v="40"/>
    <x v="295"/>
    <n v="38.640000000000008"/>
  </r>
  <r>
    <n v="1399"/>
    <x v="147"/>
    <x v="13"/>
    <x v="13"/>
    <s v="789 25th Street"/>
    <x v="7"/>
    <x v="7"/>
    <n v="99999"/>
    <s v="USA"/>
    <x v="6"/>
    <x v="1"/>
    <d v="2014-12-27T00:00:00"/>
    <s v="Shipping Company A"/>
    <s v="John Rodman"/>
    <s v="789 25th Street"/>
    <x v="7"/>
    <s v="IL"/>
    <n v="99999"/>
    <s v="USA"/>
    <s v="Cash"/>
    <x v="21"/>
    <x v="2"/>
    <n v="10"/>
    <n v="100"/>
    <x v="116"/>
    <n v="98"/>
  </r>
  <r>
    <n v="1400"/>
    <x v="148"/>
    <x v="14"/>
    <x v="14"/>
    <s v="789 26th Street"/>
    <x v="9"/>
    <x v="9"/>
    <n v="99999"/>
    <s v="USA"/>
    <x v="5"/>
    <x v="3"/>
    <d v="2014-12-28T00:00:00"/>
    <s v="Shipping Company C"/>
    <s v="Run Liu"/>
    <s v="789 26th Street"/>
    <x v="9"/>
    <s v="FL"/>
    <n v="99999"/>
    <s v="USA"/>
    <s v="Credit Card"/>
    <x v="22"/>
    <x v="13"/>
    <n v="21.35"/>
    <n v="88"/>
    <x v="296"/>
    <n v="184.12240000000003"/>
  </r>
  <r>
    <n v="1401"/>
    <x v="148"/>
    <x v="14"/>
    <x v="14"/>
    <s v="789 26th Street"/>
    <x v="9"/>
    <x v="9"/>
    <n v="99999"/>
    <s v="USA"/>
    <x v="5"/>
    <x v="3"/>
    <d v="2014-12-28T00:00:00"/>
    <s v="Shipping Company C"/>
    <s v="Run Liu"/>
    <s v="789 26th Street"/>
    <x v="9"/>
    <s v="FL"/>
    <n v="99999"/>
    <s v="USA"/>
    <s v="Credit Card"/>
    <x v="8"/>
    <x v="4"/>
    <n v="9.65"/>
    <n v="46"/>
    <x v="256"/>
    <n v="42.614400000000003"/>
  </r>
  <r>
    <n v="1402"/>
    <x v="148"/>
    <x v="14"/>
    <x v="14"/>
    <s v="789 26th Street"/>
    <x v="9"/>
    <x v="9"/>
    <n v="99999"/>
    <s v="USA"/>
    <x v="5"/>
    <x v="3"/>
    <d v="2014-12-28T00:00:00"/>
    <s v="Shipping Company C"/>
    <s v="Run Liu"/>
    <s v="789 26th Street"/>
    <x v="9"/>
    <s v="FL"/>
    <n v="99999"/>
    <s v="USA"/>
    <s v="Credit Card"/>
    <x v="13"/>
    <x v="8"/>
    <n v="18.399999999999999"/>
    <n v="93"/>
    <x v="297"/>
    <n v="167.69759999999999"/>
  </r>
  <r>
    <n v="1403"/>
    <x v="138"/>
    <x v="4"/>
    <x v="4"/>
    <s v="789 29th Street"/>
    <x v="3"/>
    <x v="3"/>
    <n v="99999"/>
    <s v="USA"/>
    <x v="3"/>
    <x v="0"/>
    <d v="2014-12-31T00:00:00"/>
    <s v="Shipping Company B"/>
    <s v="Soo Jung Lee"/>
    <s v="789 29th Street"/>
    <x v="3"/>
    <s v="CO"/>
    <n v="99999"/>
    <s v="USA"/>
    <s v="Check"/>
    <x v="0"/>
    <x v="0"/>
    <n v="14"/>
    <n v="96"/>
    <x v="298"/>
    <n v="141.12"/>
  </r>
  <r>
    <n v="1404"/>
    <x v="140"/>
    <x v="6"/>
    <x v="6"/>
    <s v="123 6th Street"/>
    <x v="5"/>
    <x v="5"/>
    <n v="99999"/>
    <s v="USA"/>
    <x v="4"/>
    <x v="2"/>
    <d v="2014-12-08T00:00:00"/>
    <s v="Shipping Company C"/>
    <s v="Francisco Pérez-Olaeta"/>
    <s v="123 6th Street"/>
    <x v="5"/>
    <s v="WI"/>
    <n v="99999"/>
    <s v="USA"/>
    <s v="Check"/>
    <x v="7"/>
    <x v="3"/>
    <n v="12.75"/>
    <n v="12"/>
    <x v="299"/>
    <n v="16.065000000000001"/>
  </r>
  <r>
    <n v="1406"/>
    <x v="135"/>
    <x v="1"/>
    <x v="1"/>
    <s v="123 4th Street"/>
    <x v="1"/>
    <x v="1"/>
    <n v="99999"/>
    <s v="USA"/>
    <x v="1"/>
    <x v="1"/>
    <d v="2014-12-06T00:00:00"/>
    <s v="Shipping Company A"/>
    <s v="Christina Lee"/>
    <s v="123 4th Street"/>
    <x v="1"/>
    <s v="NY"/>
    <n v="99999"/>
    <s v="USA"/>
    <s v="Credit Card"/>
    <x v="23"/>
    <x v="6"/>
    <n v="81"/>
    <n v="38"/>
    <x v="300"/>
    <n v="292.41000000000003"/>
  </r>
  <r>
    <n v="1407"/>
    <x v="135"/>
    <x v="1"/>
    <x v="1"/>
    <s v="123 4th Street"/>
    <x v="1"/>
    <x v="1"/>
    <n v="99999"/>
    <s v="USA"/>
    <x v="1"/>
    <x v="1"/>
    <d v="2014-12-06T00:00:00"/>
    <s v="Shipping Company A"/>
    <s v="Christina Lee"/>
    <s v="123 4th Street"/>
    <x v="1"/>
    <s v="NY"/>
    <n v="99999"/>
    <s v="USA"/>
    <s v="Credit Card"/>
    <x v="24"/>
    <x v="14"/>
    <n v="7"/>
    <n v="42"/>
    <x v="108"/>
    <n v="29.106000000000002"/>
  </r>
  <r>
    <n v="1409"/>
    <x v="137"/>
    <x v="3"/>
    <x v="3"/>
    <s v="123 8th Street"/>
    <x v="2"/>
    <x v="2"/>
    <n v="99999"/>
    <s v="USA"/>
    <x v="2"/>
    <x v="2"/>
    <d v="2014-12-10T00:00:00"/>
    <s v="Shipping Company C"/>
    <s v="Elizabeth Andersen"/>
    <s v="123 8th Street"/>
    <x v="2"/>
    <s v="OR"/>
    <n v="99999"/>
    <s v="USA"/>
    <s v="Credit Card"/>
    <x v="15"/>
    <x v="10"/>
    <n v="34.799999999999997"/>
    <n v="100"/>
    <x v="301"/>
    <n v="344.52"/>
  </r>
  <r>
    <n v="1412"/>
    <x v="139"/>
    <x v="5"/>
    <x v="5"/>
    <s v="123 3rd Street"/>
    <x v="4"/>
    <x v="4"/>
    <n v="99999"/>
    <s v="USA"/>
    <x v="0"/>
    <x v="0"/>
    <d v="2014-12-05T00:00:00"/>
    <s v="Shipping Company B"/>
    <s v="Thomas Axerr"/>
    <s v="123 3rd Street"/>
    <x v="4"/>
    <s v="CA"/>
    <n v="99999"/>
    <s v="USA"/>
    <s v="Cash"/>
    <x v="16"/>
    <x v="7"/>
    <n v="10"/>
    <n v="89"/>
    <x v="302"/>
    <n v="87.22"/>
  </r>
  <r>
    <n v="1413"/>
    <x v="139"/>
    <x v="5"/>
    <x v="5"/>
    <s v="123 3rd Street"/>
    <x v="4"/>
    <x v="4"/>
    <n v="99999"/>
    <s v="USA"/>
    <x v="0"/>
    <x v="0"/>
    <d v="2014-12-05T00:00:00"/>
    <s v="Shipping Company B"/>
    <s v="Thomas Axerr"/>
    <s v="123 3rd Street"/>
    <x v="4"/>
    <s v="CA"/>
    <n v="99999"/>
    <s v="USA"/>
    <s v="Cash"/>
    <x v="9"/>
    <x v="5"/>
    <n v="40"/>
    <n v="12"/>
    <x v="60"/>
    <n v="46.56"/>
  </r>
  <r>
    <n v="1417"/>
    <x v="142"/>
    <x v="8"/>
    <x v="8"/>
    <s v="123 10th Street"/>
    <x v="7"/>
    <x v="7"/>
    <n v="99999"/>
    <s v="USA"/>
    <x v="6"/>
    <x v="1"/>
    <d v="2014-12-12T00:00:00"/>
    <s v="Shipping Company B"/>
    <s v="Roland Wacker"/>
    <s v="123 10th Street"/>
    <x v="7"/>
    <s v="IL"/>
    <n v="99999"/>
    <s v="USA"/>
    <s v="Credit Card"/>
    <x v="18"/>
    <x v="1"/>
    <n v="10"/>
    <n v="97"/>
    <x v="303"/>
    <n v="100.88000000000001"/>
  </r>
  <r>
    <n v="1419"/>
    <x v="142"/>
    <x v="8"/>
    <x v="8"/>
    <s v="123 10th Street"/>
    <x v="7"/>
    <x v="7"/>
    <n v="99999"/>
    <s v="USA"/>
    <x v="6"/>
    <x v="1"/>
    <m/>
    <s v="Shipping Company A"/>
    <s v="Roland Wacker"/>
    <s v="123 10th Street"/>
    <x v="7"/>
    <s v="IL"/>
    <n v="99999"/>
    <s v="USA"/>
    <m/>
    <x v="1"/>
    <x v="1"/>
    <n v="3.5"/>
    <n v="53"/>
    <x v="304"/>
    <n v="17.622499999999999"/>
  </r>
  <r>
    <n v="1420"/>
    <x v="144"/>
    <x v="10"/>
    <x v="10"/>
    <s v="123 11th Street"/>
    <x v="9"/>
    <x v="9"/>
    <n v="99999"/>
    <s v="USA"/>
    <x v="5"/>
    <x v="3"/>
    <m/>
    <s v="Shipping Company C"/>
    <s v="Peter Krschne"/>
    <s v="123 11th Street"/>
    <x v="9"/>
    <s v="FL"/>
    <n v="99999"/>
    <s v="USA"/>
    <m/>
    <x v="9"/>
    <x v="5"/>
    <n v="40"/>
    <n v="61"/>
    <x v="305"/>
    <n v="248.88"/>
  </r>
  <r>
    <n v="1421"/>
    <x v="145"/>
    <x v="11"/>
    <x v="11"/>
    <s v="123 1st Street"/>
    <x v="10"/>
    <x v="10"/>
    <n v="99999"/>
    <s v="USA"/>
    <x v="2"/>
    <x v="2"/>
    <m/>
    <s v="Shipping Company C"/>
    <s v="Anna Bedecs"/>
    <s v="123 1st Street"/>
    <x v="10"/>
    <s v="WA"/>
    <n v="99999"/>
    <s v="USA"/>
    <m/>
    <x v="13"/>
    <x v="8"/>
    <n v="18.399999999999999"/>
    <n v="45"/>
    <x v="306"/>
    <n v="81.143999999999991"/>
  </r>
  <r>
    <n v="1422"/>
    <x v="141"/>
    <x v="7"/>
    <x v="7"/>
    <s v="789 28th Street"/>
    <x v="6"/>
    <x v="6"/>
    <n v="99999"/>
    <s v="USA"/>
    <x v="5"/>
    <x v="3"/>
    <d v="2014-12-30T00:00:00"/>
    <s v="Shipping Company C"/>
    <s v="Amritansh Raghav"/>
    <s v="789 28th Street"/>
    <x v="6"/>
    <s v="TN"/>
    <n v="99999"/>
    <s v="USA"/>
    <s v="Credit Card"/>
    <x v="5"/>
    <x v="0"/>
    <n v="46"/>
    <n v="43"/>
    <x v="307"/>
    <n v="197.8"/>
  </r>
  <r>
    <n v="1423"/>
    <x v="146"/>
    <x v="12"/>
    <x v="12"/>
    <s v="123 9th Street"/>
    <x v="11"/>
    <x v="11"/>
    <n v="99999"/>
    <s v="USA"/>
    <x v="7"/>
    <x v="0"/>
    <d v="2014-12-11T00:00:00"/>
    <s v="Shipping Company A"/>
    <s v="Sven Mortensen"/>
    <s v="123 9th Street"/>
    <x v="11"/>
    <s v="UT"/>
    <n v="99999"/>
    <s v="USA"/>
    <s v="Check"/>
    <x v="8"/>
    <x v="4"/>
    <n v="9.65"/>
    <n v="18"/>
    <x v="308"/>
    <n v="16.5015"/>
  </r>
  <r>
    <n v="1424"/>
    <x v="140"/>
    <x v="6"/>
    <x v="6"/>
    <s v="123 6th Street"/>
    <x v="5"/>
    <x v="5"/>
    <n v="99999"/>
    <s v="USA"/>
    <x v="4"/>
    <x v="2"/>
    <d v="2014-12-08T00:00:00"/>
    <s v="Shipping Company B"/>
    <s v="Francisco Pérez-Olaeta"/>
    <s v="123 6th Street"/>
    <x v="5"/>
    <s v="WI"/>
    <n v="99999"/>
    <s v="USA"/>
    <s v="Credit Card"/>
    <x v="7"/>
    <x v="3"/>
    <n v="12.75"/>
    <n v="41"/>
    <x v="87"/>
    <n v="50.706750000000007"/>
  </r>
  <r>
    <n v="1425"/>
    <x v="137"/>
    <x v="3"/>
    <x v="3"/>
    <s v="123 8th Street"/>
    <x v="2"/>
    <x v="2"/>
    <n v="99999"/>
    <s v="USA"/>
    <x v="2"/>
    <x v="2"/>
    <n v="41983"/>
    <s v="Shipping Company B"/>
    <s v="Elizabeth Andersen"/>
    <s v="123 8th Street"/>
    <x v="2"/>
    <s v="OR"/>
    <n v="99999"/>
    <s v="USA"/>
    <s v="Check"/>
    <x v="7"/>
    <x v="3"/>
    <n v="12.75"/>
    <n v="19"/>
    <x v="109"/>
    <n v="23.982750000000003"/>
  </r>
  <r>
    <n v="1426"/>
    <x v="147"/>
    <x v="13"/>
    <x v="13"/>
    <s v="789 25th Street"/>
    <x v="7"/>
    <x v="7"/>
    <n v="99999"/>
    <s v="USA"/>
    <x v="6"/>
    <x v="1"/>
    <n v="42000"/>
    <s v="Shipping Company A"/>
    <s v="John Rodman"/>
    <s v="789 25th Street"/>
    <x v="7"/>
    <s v="IL"/>
    <n v="99999"/>
    <s v="USA"/>
    <s v="Cash"/>
    <x v="12"/>
    <x v="7"/>
    <n v="22"/>
    <n v="65"/>
    <x v="309"/>
    <n v="138.71"/>
  </r>
  <r>
    <n v="1427"/>
    <x v="148"/>
    <x v="14"/>
    <x v="14"/>
    <s v="789 26th Street"/>
    <x v="9"/>
    <x v="9"/>
    <n v="99999"/>
    <s v="USA"/>
    <x v="5"/>
    <x v="3"/>
    <n v="42001"/>
    <s v="Shipping Company C"/>
    <s v="Run Liu"/>
    <s v="789 26th Street"/>
    <x v="9"/>
    <s v="FL"/>
    <n v="99999"/>
    <s v="USA"/>
    <s v="Credit Card"/>
    <x v="11"/>
    <x v="6"/>
    <n v="25"/>
    <n v="13"/>
    <x v="310"/>
    <n v="32.174999999999997"/>
  </r>
  <r>
    <n v="1428"/>
    <x v="138"/>
    <x v="4"/>
    <x v="4"/>
    <s v="789 29th Street"/>
    <x v="3"/>
    <x v="3"/>
    <n v="99999"/>
    <s v="USA"/>
    <x v="3"/>
    <x v="0"/>
    <n v="42004"/>
    <s v="Shipping Company B"/>
    <s v="Soo Jung Lee"/>
    <s v="789 29th Street"/>
    <x v="3"/>
    <s v="CO"/>
    <n v="99999"/>
    <s v="USA"/>
    <s v="Check"/>
    <x v="19"/>
    <x v="12"/>
    <n v="39"/>
    <n v="54"/>
    <x v="311"/>
    <n v="214.81200000000004"/>
  </r>
  <r>
    <n v="1429"/>
    <x v="140"/>
    <x v="6"/>
    <x v="6"/>
    <s v="123 6th Street"/>
    <x v="5"/>
    <x v="5"/>
    <n v="99999"/>
    <s v="USA"/>
    <x v="4"/>
    <x v="2"/>
    <d v="2014-12-08T00:00:00"/>
    <s v="Shipping Company C"/>
    <s v="Francisco Pérez-Olaeta"/>
    <s v="123 6th Street"/>
    <x v="5"/>
    <s v="WI"/>
    <n v="99999"/>
    <s v="USA"/>
    <s v="Check"/>
    <x v="2"/>
    <x v="1"/>
    <n v="30"/>
    <n v="33"/>
    <x v="82"/>
    <n v="95.039999999999992"/>
  </r>
  <r>
    <n v="1430"/>
    <x v="140"/>
    <x v="6"/>
    <x v="6"/>
    <s v="123 6th Street"/>
    <x v="5"/>
    <x v="5"/>
    <n v="99999"/>
    <s v="USA"/>
    <x v="4"/>
    <x v="2"/>
    <d v="2014-12-08T00:00:00"/>
    <s v="Shipping Company C"/>
    <s v="Francisco Pérez-Olaeta"/>
    <s v="123 6th Street"/>
    <x v="5"/>
    <s v="WI"/>
    <n v="99999"/>
    <s v="USA"/>
    <s v="Check"/>
    <x v="3"/>
    <x v="1"/>
    <n v="53"/>
    <n v="34"/>
    <x v="312"/>
    <n v="185.60600000000002"/>
  </r>
  <r>
    <n v="1431"/>
    <x v="135"/>
    <x v="1"/>
    <x v="1"/>
    <s v="123 4th Street"/>
    <x v="1"/>
    <x v="1"/>
    <n v="99999"/>
    <s v="USA"/>
    <x v="1"/>
    <x v="1"/>
    <m/>
    <m/>
    <s v="Christina Lee"/>
    <s v="123 4th Street"/>
    <x v="1"/>
    <s v="NY"/>
    <n v="99999"/>
    <s v="USA"/>
    <m/>
    <x v="20"/>
    <x v="9"/>
    <n v="38"/>
    <n v="59"/>
    <x v="313"/>
    <n v="226.44200000000001"/>
  </r>
  <r>
    <n v="1432"/>
    <x v="139"/>
    <x v="5"/>
    <x v="5"/>
    <s v="123 3rd Street"/>
    <x v="4"/>
    <x v="4"/>
    <n v="99999"/>
    <s v="USA"/>
    <x v="0"/>
    <x v="0"/>
    <m/>
    <m/>
    <s v="Thomas Axerr"/>
    <s v="123 3rd Street"/>
    <x v="4"/>
    <s v="CA"/>
    <n v="99999"/>
    <s v="USA"/>
    <m/>
    <x v="10"/>
    <x v="0"/>
    <n v="2.99"/>
    <n v="24"/>
    <x v="314"/>
    <n v="7.1042400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8EFAD7-B1DF-460E-9EFD-BDC8561C2D29}"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8" firstHeaderRow="1" firstDataRow="1" firstDataCol="1"/>
  <pivotFields count="26">
    <pivotField showAll="0"/>
    <pivotField numFmtId="165" showAll="0"/>
    <pivotField showAll="0"/>
    <pivotField showAll="0"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items count="2">
        <item x="0"/>
        <item t="default"/>
      </items>
    </pivotField>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6" showAll="0">
      <items count="11">
        <item x="0"/>
        <item x="1"/>
        <item x="2"/>
        <item x="3"/>
        <item x="4"/>
        <item x="5"/>
        <item x="6"/>
        <item x="7"/>
        <item x="8"/>
        <item x="9"/>
        <item t="default"/>
      </items>
    </pivotField>
    <pivotField numFmtId="166" showAll="0"/>
  </pivotFields>
  <rowFields count="1">
    <field x="10"/>
  </rowFields>
  <rowItems count="5">
    <i>
      <x v="1"/>
    </i>
    <i>
      <x/>
    </i>
    <i>
      <x v="2"/>
    </i>
    <i>
      <x v="3"/>
    </i>
    <i t="grand">
      <x/>
    </i>
  </rowItems>
  <colItems count="1">
    <i/>
  </colItems>
  <dataFields count="1">
    <dataField name="Sum of Revenue" fld="24" baseField="0" baseItem="0" numFmtId="166"/>
  </dataFields>
  <chartFormats count="8">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0"/>
          </reference>
        </references>
      </pivotArea>
    </chartFormat>
    <chartFormat chart="9" format="27">
      <pivotArea type="data" outline="0" fieldPosition="0">
        <references count="2">
          <reference field="4294967294" count="1" selected="0">
            <x v="0"/>
          </reference>
          <reference field="10" count="1" selected="0">
            <x v="3"/>
          </reference>
        </references>
      </pivotArea>
    </chartFormat>
    <chartFormat chart="9" format="28">
      <pivotArea type="data" outline="0" fieldPosition="0">
        <references count="2">
          <reference field="4294967294" count="1" selected="0">
            <x v="0"/>
          </reference>
          <reference field="10" count="1" selected="0">
            <x v="1"/>
          </reference>
        </references>
      </pivotArea>
    </chartFormat>
    <chartFormat chart="9" format="29">
      <pivotArea type="data" outline="0" fieldPosition="0">
        <references count="2">
          <reference field="4294967294" count="1" selected="0">
            <x v="0"/>
          </reference>
          <reference field="10" count="1" selected="0">
            <x v="0"/>
          </reference>
        </references>
      </pivotArea>
    </chartFormat>
    <chartFormat chart="9" format="30">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10E7A2-F8FA-4849-927C-4838EB40C340}"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4" firstHeaderRow="1" firstDataRow="1" firstDataCol="1"/>
  <pivotFields count="26">
    <pivotField showAll="0"/>
    <pivotField numFmtId="165" showAll="0"/>
    <pivotField showAll="0"/>
    <pivotField axis="axisRow" showAll="0" measureFilter="1"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6" showAll="0">
      <items count="11">
        <item x="0"/>
        <item x="1"/>
        <item x="2"/>
        <item x="3"/>
        <item x="4"/>
        <item x="5"/>
        <item x="6"/>
        <item x="7"/>
        <item x="8"/>
        <item x="9"/>
        <item t="default"/>
      </items>
    </pivotField>
    <pivotField numFmtId="166" showAll="0"/>
  </pivotFields>
  <rowFields count="1">
    <field x="3"/>
  </rowFields>
  <rowItems count="11">
    <i>
      <x v="5"/>
    </i>
    <i>
      <x v="8"/>
    </i>
    <i>
      <x v="2"/>
    </i>
    <i>
      <x v="6"/>
    </i>
    <i>
      <x/>
    </i>
    <i>
      <x v="9"/>
    </i>
    <i>
      <x v="10"/>
    </i>
    <i>
      <x v="14"/>
    </i>
    <i>
      <x v="3"/>
    </i>
    <i>
      <x v="11"/>
    </i>
    <i t="grand">
      <x/>
    </i>
  </rowItems>
  <colItems count="1">
    <i/>
  </colItems>
  <dataFields count="1">
    <dataField name="Sum of Revenue" fld="24" baseField="0" baseItem="0" numFmtId="166"/>
  </dataFields>
  <chartFormats count="24">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3" count="1" selected="0">
            <x v="5"/>
          </reference>
        </references>
      </pivotArea>
    </chartFormat>
    <chartFormat chart="8" format="2">
      <pivotArea type="data" outline="0" fieldPosition="0">
        <references count="2">
          <reference field="4294967294" count="1" selected="0">
            <x v="0"/>
          </reference>
          <reference field="3" count="1" selected="0">
            <x v="8"/>
          </reference>
        </references>
      </pivotArea>
    </chartFormat>
    <chartFormat chart="8" format="3">
      <pivotArea type="data" outline="0" fieldPosition="0">
        <references count="2">
          <reference field="4294967294" count="1" selected="0">
            <x v="0"/>
          </reference>
          <reference field="3" count="1" selected="0">
            <x v="2"/>
          </reference>
        </references>
      </pivotArea>
    </chartFormat>
    <chartFormat chart="8" format="4">
      <pivotArea type="data" outline="0" fieldPosition="0">
        <references count="2">
          <reference field="4294967294" count="1" selected="0">
            <x v="0"/>
          </reference>
          <reference field="3" count="1" selected="0">
            <x v="6"/>
          </reference>
        </references>
      </pivotArea>
    </chartFormat>
    <chartFormat chart="8" format="5">
      <pivotArea type="data" outline="0" fieldPosition="0">
        <references count="2">
          <reference field="4294967294" count="1" selected="0">
            <x v="0"/>
          </reference>
          <reference field="3" count="1" selected="0">
            <x v="0"/>
          </reference>
        </references>
      </pivotArea>
    </chartFormat>
    <chartFormat chart="8" format="6">
      <pivotArea type="data" outline="0" fieldPosition="0">
        <references count="2">
          <reference field="4294967294" count="1" selected="0">
            <x v="0"/>
          </reference>
          <reference field="3" count="1" selected="0">
            <x v="9"/>
          </reference>
        </references>
      </pivotArea>
    </chartFormat>
    <chartFormat chart="8" format="7">
      <pivotArea type="data" outline="0" fieldPosition="0">
        <references count="2">
          <reference field="4294967294" count="1" selected="0">
            <x v="0"/>
          </reference>
          <reference field="3" count="1" selected="0">
            <x v="10"/>
          </reference>
        </references>
      </pivotArea>
    </chartFormat>
    <chartFormat chart="8" format="8">
      <pivotArea type="data" outline="0" fieldPosition="0">
        <references count="2">
          <reference field="4294967294" count="1" selected="0">
            <x v="0"/>
          </reference>
          <reference field="3" count="1" selected="0">
            <x v="14"/>
          </reference>
        </references>
      </pivotArea>
    </chartFormat>
    <chartFormat chart="8" format="9">
      <pivotArea type="data" outline="0" fieldPosition="0">
        <references count="2">
          <reference field="4294967294" count="1" selected="0">
            <x v="0"/>
          </reference>
          <reference field="3" count="1" selected="0">
            <x v="3"/>
          </reference>
        </references>
      </pivotArea>
    </chartFormat>
    <chartFormat chart="8" format="10">
      <pivotArea type="data" outline="0" fieldPosition="0">
        <references count="2">
          <reference field="4294967294" count="1" selected="0">
            <x v="0"/>
          </reference>
          <reference field="3" count="1" selected="0">
            <x v="11"/>
          </reference>
        </references>
      </pivotArea>
    </chartFormat>
    <chartFormat chart="10" format="22" series="1">
      <pivotArea type="data" outline="0" fieldPosition="0">
        <references count="1">
          <reference field="4294967294" count="1" selected="0">
            <x v="0"/>
          </reference>
        </references>
      </pivotArea>
    </chartFormat>
    <chartFormat chart="10" format="23">
      <pivotArea type="data" outline="0" fieldPosition="0">
        <references count="2">
          <reference field="4294967294" count="1" selected="0">
            <x v="0"/>
          </reference>
          <reference field="3" count="1" selected="0">
            <x v="5"/>
          </reference>
        </references>
      </pivotArea>
    </chartFormat>
    <chartFormat chart="10" format="24">
      <pivotArea type="data" outline="0" fieldPosition="0">
        <references count="2">
          <reference field="4294967294" count="1" selected="0">
            <x v="0"/>
          </reference>
          <reference field="3" count="1" selected="0">
            <x v="8"/>
          </reference>
        </references>
      </pivotArea>
    </chartFormat>
    <chartFormat chart="10" format="25">
      <pivotArea type="data" outline="0" fieldPosition="0">
        <references count="2">
          <reference field="4294967294" count="1" selected="0">
            <x v="0"/>
          </reference>
          <reference field="3" count="1" selected="0">
            <x v="2"/>
          </reference>
        </references>
      </pivotArea>
    </chartFormat>
    <chartFormat chart="10" format="26">
      <pivotArea type="data" outline="0" fieldPosition="0">
        <references count="2">
          <reference field="4294967294" count="1" selected="0">
            <x v="0"/>
          </reference>
          <reference field="3" count="1" selected="0">
            <x v="6"/>
          </reference>
        </references>
      </pivotArea>
    </chartFormat>
    <chartFormat chart="10" format="27">
      <pivotArea type="data" outline="0" fieldPosition="0">
        <references count="2">
          <reference field="4294967294" count="1" selected="0">
            <x v="0"/>
          </reference>
          <reference field="3" count="1" selected="0">
            <x v="0"/>
          </reference>
        </references>
      </pivotArea>
    </chartFormat>
    <chartFormat chart="10" format="28">
      <pivotArea type="data" outline="0" fieldPosition="0">
        <references count="2">
          <reference field="4294967294" count="1" selected="0">
            <x v="0"/>
          </reference>
          <reference field="3" count="1" selected="0">
            <x v="9"/>
          </reference>
        </references>
      </pivotArea>
    </chartFormat>
    <chartFormat chart="10" format="29">
      <pivotArea type="data" outline="0" fieldPosition="0">
        <references count="2">
          <reference field="4294967294" count="1" selected="0">
            <x v="0"/>
          </reference>
          <reference field="3" count="1" selected="0">
            <x v="10"/>
          </reference>
        </references>
      </pivotArea>
    </chartFormat>
    <chartFormat chart="10" format="30">
      <pivotArea type="data" outline="0" fieldPosition="0">
        <references count="2">
          <reference field="4294967294" count="1" selected="0">
            <x v="0"/>
          </reference>
          <reference field="3" count="1" selected="0">
            <x v="14"/>
          </reference>
        </references>
      </pivotArea>
    </chartFormat>
    <chartFormat chart="10" format="31">
      <pivotArea type="data" outline="0" fieldPosition="0">
        <references count="2">
          <reference field="4294967294" count="1" selected="0">
            <x v="0"/>
          </reference>
          <reference field="3" count="1" selected="0">
            <x v="3"/>
          </reference>
        </references>
      </pivotArea>
    </chartFormat>
    <chartFormat chart="10" format="32">
      <pivotArea type="data" outline="0" fieldPosition="0">
        <references count="2">
          <reference field="4294967294" count="1" selected="0">
            <x v="0"/>
          </reference>
          <reference field="3" count="1" selected="0">
            <x v="11"/>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37575E-CA1B-4B2D-928C-3AAF7CEC8830}"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2" firstHeaderRow="1" firstDataRow="1" firstDataCol="1"/>
  <pivotFields count="26">
    <pivotField showAll="0"/>
    <pivotField numFmtId="165" showAll="0"/>
    <pivotField showAll="0"/>
    <pivotField showAll="0">
      <items count="16">
        <item x="11"/>
        <item x="0"/>
        <item x="7"/>
        <item x="5"/>
        <item x="4"/>
        <item x="1"/>
        <item x="6"/>
        <item x="9"/>
        <item x="3"/>
        <item x="12"/>
        <item x="8"/>
        <item x="10"/>
        <item x="2"/>
        <item x="13"/>
        <item x="14"/>
        <item t="default"/>
      </items>
    </pivotField>
    <pivotField showAll="0"/>
    <pivotField showAll="0"/>
    <pivotField showAll="0"/>
    <pivotField showAll="0"/>
    <pivotField showAll="0"/>
    <pivotField axis="axisRow"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6" showAll="0">
      <items count="11">
        <item x="0"/>
        <item x="1"/>
        <item x="2"/>
        <item x="3"/>
        <item x="4"/>
        <item x="5"/>
        <item x="6"/>
        <item x="7"/>
        <item x="8"/>
        <item x="9"/>
        <item t="default"/>
      </items>
    </pivotField>
    <pivotField numFmtId="166" showAll="0"/>
  </pivotFields>
  <rowFields count="1">
    <field x="9"/>
  </rowFields>
  <rowItems count="9">
    <i>
      <x v="6"/>
    </i>
    <i>
      <x v="1"/>
    </i>
    <i>
      <x/>
    </i>
    <i>
      <x v="4"/>
    </i>
    <i>
      <x v="3"/>
    </i>
    <i>
      <x v="5"/>
    </i>
    <i>
      <x v="7"/>
    </i>
    <i>
      <x v="2"/>
    </i>
    <i t="grand">
      <x/>
    </i>
  </rowItems>
  <colItems count="1">
    <i/>
  </colItems>
  <dataFields count="1">
    <dataField name="Sum of Revenue" fld="24" baseField="0" baseItem="0" numFmtId="166"/>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6"/>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0"/>
          </reference>
        </references>
      </pivotArea>
    </chartFormat>
    <chartFormat chart="0" format="4">
      <pivotArea type="data" outline="0" fieldPosition="0">
        <references count="2">
          <reference field="4294967294" count="1" selected="0">
            <x v="0"/>
          </reference>
          <reference field="9" count="1" selected="0">
            <x v="4"/>
          </reference>
        </references>
      </pivotArea>
    </chartFormat>
    <chartFormat chart="0" format="5">
      <pivotArea type="data" outline="0" fieldPosition="0">
        <references count="2">
          <reference field="4294967294" count="1" selected="0">
            <x v="0"/>
          </reference>
          <reference field="9" count="1" selected="0">
            <x v="3"/>
          </reference>
        </references>
      </pivotArea>
    </chartFormat>
    <chartFormat chart="0" format="6">
      <pivotArea type="data" outline="0" fieldPosition="0">
        <references count="2">
          <reference field="4294967294" count="1" selected="0">
            <x v="0"/>
          </reference>
          <reference field="9" count="1" selected="0">
            <x v="5"/>
          </reference>
        </references>
      </pivotArea>
    </chartFormat>
    <chartFormat chart="0" format="7">
      <pivotArea type="data" outline="0" fieldPosition="0">
        <references count="2">
          <reference field="4294967294" count="1" selected="0">
            <x v="0"/>
          </reference>
          <reference field="9" count="1" selected="0">
            <x v="7"/>
          </reference>
        </references>
      </pivotArea>
    </chartFormat>
    <chartFormat chart="0" format="8">
      <pivotArea type="data" outline="0" fieldPosition="0">
        <references count="2">
          <reference field="4294967294" count="1" selected="0">
            <x v="0"/>
          </reference>
          <reference field="9" count="1" selected="0">
            <x v="2"/>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9" count="1" selected="0">
            <x v="6"/>
          </reference>
        </references>
      </pivotArea>
    </chartFormat>
    <chartFormat chart="5" format="18">
      <pivotArea type="data" outline="0" fieldPosition="0">
        <references count="2">
          <reference field="4294967294" count="1" selected="0">
            <x v="0"/>
          </reference>
          <reference field="9" count="1" selected="0">
            <x v="4"/>
          </reference>
        </references>
      </pivotArea>
    </chartFormat>
    <chartFormat chart="5" format="19">
      <pivotArea type="data" outline="0" fieldPosition="0">
        <references count="2">
          <reference field="4294967294" count="1" selected="0">
            <x v="0"/>
          </reference>
          <reference field="9" count="1" selected="0">
            <x v="3"/>
          </reference>
        </references>
      </pivotArea>
    </chartFormat>
    <chartFormat chart="5" format="20">
      <pivotArea type="data" outline="0" fieldPosition="0">
        <references count="2">
          <reference field="4294967294" count="1" selected="0">
            <x v="0"/>
          </reference>
          <reference field="9" count="1" selected="0">
            <x v="5"/>
          </reference>
        </references>
      </pivotArea>
    </chartFormat>
    <chartFormat chart="5" format="21">
      <pivotArea type="data" outline="0" fieldPosition="0">
        <references count="2">
          <reference field="4294967294" count="1" selected="0">
            <x v="0"/>
          </reference>
          <reference field="9" count="1" selected="0">
            <x v="7"/>
          </reference>
        </references>
      </pivotArea>
    </chartFormat>
    <chartFormat chart="5" format="22">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FD7D83-7F88-4C6F-81AC-BB91E1A8D7BE}"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26">
    <pivotField showAll="0"/>
    <pivotField numFmtId="165" showAll="0"/>
    <pivotField showAll="0"/>
    <pivotField showAll="0">
      <items count="16">
        <item x="11"/>
        <item x="0"/>
        <item x="7"/>
        <item x="5"/>
        <item x="4"/>
        <item x="1"/>
        <item x="6"/>
        <item x="9"/>
        <item x="3"/>
        <item x="12"/>
        <item x="8"/>
        <item x="10"/>
        <item x="2"/>
        <item x="13"/>
        <item x="14"/>
        <item t="default"/>
      </items>
    </pivotField>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6" showAll="0">
      <items count="11">
        <item x="0"/>
        <item x="1"/>
        <item x="2"/>
        <item x="3"/>
        <item x="4"/>
        <item x="5"/>
        <item x="6"/>
        <item x="7"/>
        <item x="8"/>
        <item x="9"/>
        <item t="default"/>
      </items>
    </pivotField>
    <pivotField numFmtId="166" showAll="0"/>
  </pivotFields>
  <rowFields count="1">
    <field x="10"/>
  </rowFields>
  <rowItems count="5">
    <i>
      <x v="1"/>
    </i>
    <i>
      <x/>
    </i>
    <i>
      <x v="2"/>
    </i>
    <i>
      <x v="3"/>
    </i>
    <i t="grand">
      <x/>
    </i>
  </rowItems>
  <colItems count="1">
    <i/>
  </colItems>
  <dataFields count="1">
    <dataField name="Sum of Revenue" fld="24" baseField="0" baseItem="0" numFmtId="166"/>
  </dataFields>
  <chartFormats count="11">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0" count="1" selected="0">
            <x v="0"/>
          </reference>
        </references>
      </pivotArea>
    </chartFormat>
    <chartFormat chart="6" format="2">
      <pivotArea type="data" outline="0" fieldPosition="0">
        <references count="2">
          <reference field="4294967294" count="1" selected="0">
            <x v="0"/>
          </reference>
          <reference field="10" count="1" selected="0">
            <x v="2"/>
          </reference>
        </references>
      </pivotArea>
    </chartFormat>
    <chartFormat chart="6" format="3">
      <pivotArea type="data" outline="0" fieldPosition="0">
        <references count="2">
          <reference field="4294967294" count="1" selected="0">
            <x v="0"/>
          </reference>
          <reference field="10" count="1" selected="0">
            <x v="3"/>
          </reference>
        </references>
      </pivotArea>
    </chartFormat>
    <chartFormat chart="6" format="4">
      <pivotArea type="data" outline="0" fieldPosition="0">
        <references count="2">
          <reference field="4294967294" count="1" selected="0">
            <x v="0"/>
          </reference>
          <reference field="10" count="1" selected="0">
            <x v="1"/>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10" count="1" selected="0">
            <x v="1"/>
          </reference>
        </references>
      </pivotArea>
    </chartFormat>
    <chartFormat chart="10" format="12">
      <pivotArea type="data" outline="0" fieldPosition="0">
        <references count="2">
          <reference field="4294967294" count="1" selected="0">
            <x v="0"/>
          </reference>
          <reference field="10" count="1" selected="0">
            <x v="0"/>
          </reference>
        </references>
      </pivotArea>
    </chartFormat>
    <chartFormat chart="10" format="13">
      <pivotArea type="data" outline="0" fieldPosition="0">
        <references count="2">
          <reference field="4294967294" count="1" selected="0">
            <x v="0"/>
          </reference>
          <reference field="10" count="1" selected="0">
            <x v="2"/>
          </reference>
        </references>
      </pivotArea>
    </chartFormat>
    <chartFormat chart="10" format="1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333147-336E-49D6-B856-4AB8EE1CFD34}"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0" firstHeaderRow="1" firstDataRow="1" firstDataCol="1"/>
  <pivotFields count="26">
    <pivotField showAll="0"/>
    <pivotField numFmtId="165" showAll="0" measureFilter="1" sortType="descending"/>
    <pivotField showAll="0"/>
    <pivotField showAll="0"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sortType="descending">
      <items count="26">
        <item x="18"/>
        <item x="0"/>
        <item x="11"/>
        <item x="12"/>
        <item x="4"/>
        <item x="7"/>
        <item x="6"/>
        <item x="8"/>
        <item x="5"/>
        <item x="13"/>
        <item x="9"/>
        <item x="3"/>
        <item x="2"/>
        <item x="1"/>
        <item x="19"/>
        <item x="20"/>
        <item x="10"/>
        <item x="24"/>
        <item x="23"/>
        <item x="15"/>
        <item x="22"/>
        <item x="14"/>
        <item x="21"/>
        <item x="16"/>
        <item x="17"/>
        <item t="default"/>
      </items>
      <autoSortScope>
        <pivotArea dataOnly="0" outline="0" fieldPosition="0">
          <references count="1">
            <reference field="4294967294" count="1" selected="0">
              <x v="0"/>
            </reference>
          </references>
        </pivotArea>
      </autoSortScope>
    </pivotField>
    <pivotField axis="axisRow" showAll="0" measureFilter="1" sortType="descending">
      <items count="17">
        <item x="2"/>
        <item x="0"/>
        <item x="3"/>
        <item x="8"/>
        <item x="7"/>
        <item x="10"/>
        <item x="1"/>
        <item x="12"/>
        <item x="14"/>
        <item x="6"/>
        <item x="13"/>
        <item x="9"/>
        <item x="5"/>
        <item m="1" x="15"/>
        <item x="4"/>
        <item x="11"/>
        <item t="default"/>
      </items>
      <autoSortScope>
        <pivotArea dataOnly="0" outline="0" fieldPosition="0">
          <references count="1">
            <reference field="4294967294" count="1" selected="0">
              <x v="0"/>
            </reference>
          </references>
        </pivotArea>
      </autoSortScope>
    </pivotField>
    <pivotField showAll="0"/>
    <pivotField showAll="0"/>
    <pivotField dataField="1" numFmtId="166" showAll="0">
      <items count="11">
        <item x="0"/>
        <item x="1"/>
        <item x="2"/>
        <item x="3"/>
        <item x="4"/>
        <item x="5"/>
        <item x="6"/>
        <item x="7"/>
        <item x="8"/>
        <item x="9"/>
        <item t="default"/>
      </items>
    </pivotField>
    <pivotField numFmtId="166" showAll="0"/>
  </pivotFields>
  <rowFields count="1">
    <field x="21"/>
  </rowFields>
  <rowItems count="7">
    <i>
      <x v="1"/>
    </i>
    <i>
      <x v="12"/>
    </i>
    <i>
      <x v="9"/>
    </i>
    <i>
      <x v="5"/>
    </i>
    <i>
      <x v="6"/>
    </i>
    <i>
      <x v="3"/>
    </i>
    <i t="grand">
      <x/>
    </i>
  </rowItems>
  <colItems count="1">
    <i/>
  </colItems>
  <dataFields count="1">
    <dataField name="Sum of Revenue" fld="24" baseField="0" baseItem="0" numFmtId="166"/>
  </dataFields>
  <chartFormats count="20">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21" count="1" selected="0">
            <x v="12"/>
          </reference>
        </references>
      </pivotArea>
    </chartFormat>
    <chartFormat chart="13" format="2">
      <pivotArea type="data" outline="0" fieldPosition="0">
        <references count="2">
          <reference field="4294967294" count="1" selected="0">
            <x v="0"/>
          </reference>
          <reference field="21" count="1" selected="0">
            <x v="9"/>
          </reference>
        </references>
      </pivotArea>
    </chartFormat>
    <chartFormat chart="13" format="3">
      <pivotArea type="data" outline="0" fieldPosition="0">
        <references count="2">
          <reference field="4294967294" count="1" selected="0">
            <x v="0"/>
          </reference>
          <reference field="21" count="1" selected="0">
            <x v="5"/>
          </reference>
        </references>
      </pivotArea>
    </chartFormat>
    <chartFormat chart="13" format="4">
      <pivotArea type="data" outline="0" fieldPosition="0">
        <references count="2">
          <reference field="4294967294" count="1" selected="0">
            <x v="0"/>
          </reference>
          <reference field="21" count="1" selected="0">
            <x v="6"/>
          </reference>
        </references>
      </pivotArea>
    </chartFormat>
    <chartFormat chart="13" format="5">
      <pivotArea type="data" outline="0" fieldPosition="0">
        <references count="2">
          <reference field="4294967294" count="1" selected="0">
            <x v="0"/>
          </reference>
          <reference field="21" count="1" selected="0">
            <x v="3"/>
          </reference>
        </references>
      </pivotArea>
    </chartFormat>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21" count="1" selected="0">
            <x v="12"/>
          </reference>
        </references>
      </pivotArea>
    </chartFormat>
    <chartFormat chart="17" format="14">
      <pivotArea type="data" outline="0" fieldPosition="0">
        <references count="2">
          <reference field="4294967294" count="1" selected="0">
            <x v="0"/>
          </reference>
          <reference field="21" count="1" selected="0">
            <x v="9"/>
          </reference>
        </references>
      </pivotArea>
    </chartFormat>
    <chartFormat chart="17" format="15">
      <pivotArea type="data" outline="0" fieldPosition="0">
        <references count="2">
          <reference field="4294967294" count="1" selected="0">
            <x v="0"/>
          </reference>
          <reference field="21" count="1" selected="0">
            <x v="5"/>
          </reference>
        </references>
      </pivotArea>
    </chartFormat>
    <chartFormat chart="17" format="16">
      <pivotArea type="data" outline="0" fieldPosition="0">
        <references count="2">
          <reference field="4294967294" count="1" selected="0">
            <x v="0"/>
          </reference>
          <reference field="21" count="1" selected="0">
            <x v="6"/>
          </reference>
        </references>
      </pivotArea>
    </chartFormat>
    <chartFormat chart="17" format="17">
      <pivotArea type="data" outline="0" fieldPosition="0">
        <references count="2">
          <reference field="4294967294" count="1" selected="0">
            <x v="0"/>
          </reference>
          <reference field="21" count="1" selected="0">
            <x v="3"/>
          </reference>
        </references>
      </pivotArea>
    </chartFormat>
    <chartFormat chart="13" format="6">
      <pivotArea type="data" outline="0" fieldPosition="0">
        <references count="2">
          <reference field="4294967294" count="1" selected="0">
            <x v="0"/>
          </reference>
          <reference field="21" count="1" selected="0">
            <x v="11"/>
          </reference>
        </references>
      </pivotArea>
    </chartFormat>
    <chartFormat chart="13" format="7">
      <pivotArea type="data" outline="0" fieldPosition="0">
        <references count="2">
          <reference field="4294967294" count="1" selected="0">
            <x v="0"/>
          </reference>
          <reference field="21" count="1" selected="0">
            <x v="8"/>
          </reference>
        </references>
      </pivotArea>
    </chartFormat>
    <chartFormat chart="13" format="8">
      <pivotArea type="data" outline="0" fieldPosition="0">
        <references count="2">
          <reference field="4294967294" count="1" selected="0">
            <x v="0"/>
          </reference>
          <reference field="21" count="1" selected="0">
            <x v="0"/>
          </reference>
        </references>
      </pivotArea>
    </chartFormat>
    <chartFormat chart="17" format="18">
      <pivotArea type="data" outline="0" fieldPosition="0">
        <references count="2">
          <reference field="4294967294" count="1" selected="0">
            <x v="0"/>
          </reference>
          <reference field="21" count="1" selected="0">
            <x v="4"/>
          </reference>
        </references>
      </pivotArea>
    </chartFormat>
  </chartFormats>
  <pivotTableStyleInfo name="PivotStyleLight16" showRowHeaders="1" showColHeaders="1" showRowStripes="0" showColStripes="0" showLastColumn="1"/>
  <filters count="2">
    <filter fld="1" type="count" evalOrder="-1" id="2" iMeasureFld="0">
      <autoFilter ref="A1">
        <filterColumn colId="0">
          <top10 val="12" filterVal="12"/>
        </filterColumn>
      </autoFilter>
    </filter>
    <filter fld="21" type="count" evalOrder="-1" id="3"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017F6D-4DF3-4B21-8BC2-07F7270793B3}"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6" firstHeaderRow="1" firstDataRow="1" firstDataCol="1"/>
  <pivotFields count="26">
    <pivotField showAll="0"/>
    <pivotField axis="axisRow" numFmtId="165" showAll="0" measureFilter="1" sortType="descending">
      <items count="15">
        <item x="13"/>
        <item x="0"/>
        <item x="12"/>
        <item x="11"/>
        <item x="10"/>
        <item x="9"/>
        <item x="8"/>
        <item x="7"/>
        <item x="6"/>
        <item x="5"/>
        <item x="4"/>
        <item x="3"/>
        <item x="2"/>
        <item x="1"/>
        <item t="default"/>
      </items>
    </pivotField>
    <pivotField showAll="0">
      <items count="16">
        <item x="11"/>
        <item x="5"/>
        <item x="1"/>
        <item x="6"/>
        <item x="9"/>
        <item x="3"/>
        <item x="12"/>
        <item x="8"/>
        <item x="10"/>
        <item x="2"/>
        <item x="13"/>
        <item x="14"/>
        <item x="0"/>
        <item x="7"/>
        <item x="4"/>
        <item t="default"/>
      </items>
    </pivotField>
    <pivotField showAll="0"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sortType="descending">
      <items count="26">
        <item x="18"/>
        <item x="0"/>
        <item x="11"/>
        <item x="12"/>
        <item x="4"/>
        <item x="7"/>
        <item x="6"/>
        <item x="8"/>
        <item x="5"/>
        <item x="13"/>
        <item x="9"/>
        <item x="3"/>
        <item x="2"/>
        <item x="1"/>
        <item x="19"/>
        <item x="20"/>
        <item x="10"/>
        <item x="24"/>
        <item x="23"/>
        <item x="15"/>
        <item x="22"/>
        <item x="14"/>
        <item x="21"/>
        <item x="16"/>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166" showAll="0">
      <items count="11">
        <item x="0"/>
        <item x="1"/>
        <item x="2"/>
        <item x="3"/>
        <item x="4"/>
        <item x="5"/>
        <item x="6"/>
        <item x="7"/>
        <item x="8"/>
        <item x="9"/>
        <item t="default"/>
      </items>
    </pivotField>
    <pivotField numFmtId="166" showAll="0"/>
  </pivotFields>
  <rowFields count="1">
    <field x="1"/>
  </rowFields>
  <rowItems count="13">
    <i>
      <x v="2"/>
    </i>
    <i>
      <x v="3"/>
    </i>
    <i>
      <x v="4"/>
    </i>
    <i>
      <x v="5"/>
    </i>
    <i>
      <x v="6"/>
    </i>
    <i>
      <x v="7"/>
    </i>
    <i>
      <x v="8"/>
    </i>
    <i>
      <x v="9"/>
    </i>
    <i>
      <x v="10"/>
    </i>
    <i>
      <x v="11"/>
    </i>
    <i>
      <x v="12"/>
    </i>
    <i>
      <x v="13"/>
    </i>
    <i t="grand">
      <x/>
    </i>
  </rowItems>
  <colItems count="1">
    <i/>
  </colItems>
  <dataFields count="1">
    <dataField name="Sum of Revenue" fld="24" baseField="0" baseItem="0" numFmtId="166"/>
  </dataFields>
  <chartFormats count="5">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2" filterVal="1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8B80C7-D866-4141-AC30-6E18EB54A123}"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11" firstHeaderRow="1" firstDataRow="1" firstDataCol="1"/>
  <pivotFields count="26">
    <pivotField showAll="0"/>
    <pivotField numFmtId="165" showAll="0" measureFilter="1" sortType="descending"/>
    <pivotField showAll="0"/>
    <pivotField showAll="0"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sortType="descending">
      <items count="26">
        <item x="18"/>
        <item x="0"/>
        <item x="11"/>
        <item x="12"/>
        <item x="4"/>
        <item x="7"/>
        <item x="6"/>
        <item x="8"/>
        <item x="5"/>
        <item x="13"/>
        <item x="9"/>
        <item x="3"/>
        <item x="2"/>
        <item x="1"/>
        <item x="19"/>
        <item x="20"/>
        <item x="10"/>
        <item x="24"/>
        <item x="23"/>
        <item x="15"/>
        <item x="22"/>
        <item x="14"/>
        <item x="21"/>
        <item x="16"/>
        <item x="17"/>
        <item t="default"/>
      </items>
      <autoSortScope>
        <pivotArea dataOnly="0" outline="0" fieldPosition="0">
          <references count="1">
            <reference field="4294967294" count="1" selected="0">
              <x v="0"/>
            </reference>
          </references>
        </pivotArea>
      </autoSortScope>
    </pivotField>
    <pivotField showAll="0" measureFilter="1" sortType="descending">
      <items count="17">
        <item x="2"/>
        <item x="0"/>
        <item x="3"/>
        <item x="8"/>
        <item x="7"/>
        <item x="10"/>
        <item x="1"/>
        <item x="12"/>
        <item x="14"/>
        <item x="6"/>
        <item x="13"/>
        <item x="9"/>
        <item x="5"/>
        <item m="1" x="15"/>
        <item x="4"/>
        <item x="11"/>
        <item t="default"/>
      </items>
      <autoSortScope>
        <pivotArea dataOnly="0" outline="0" fieldPosition="0">
          <references count="1">
            <reference field="4294967294" count="1" selected="0">
              <x v="0"/>
            </reference>
          </references>
        </pivotArea>
      </autoSortScope>
    </pivotField>
    <pivotField showAll="0"/>
    <pivotField showAll="0"/>
    <pivotField axis="axisRow" dataField="1" numFmtId="166" showAll="0" measureFilter="1" sortType="a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numFmtId="166" showAll="0"/>
  </pivotFields>
  <rowFields count="1">
    <field x="24"/>
  </rowFields>
  <rowItems count="8">
    <i>
      <x v="8"/>
    </i>
    <i>
      <x v="7"/>
    </i>
    <i>
      <x v="5"/>
    </i>
    <i>
      <x v="4"/>
    </i>
    <i>
      <x v="3"/>
    </i>
    <i>
      <x v="2"/>
    </i>
    <i>
      <x v="1"/>
    </i>
    <i t="grand">
      <x/>
    </i>
  </rowItems>
  <colItems count="1">
    <i/>
  </colItems>
  <dataFields count="1">
    <dataField name="Count of Revenue" fld="24" subtotal="count" baseField="0" baseItem="0" numFmtId="49"/>
  </dataFields>
  <formats count="1">
    <format dxfId="0">
      <pivotArea collapsedLevelsAreSubtotals="1" fieldPosition="0">
        <references count="1">
          <reference field="24" count="7">
            <x v="1"/>
            <x v="2"/>
            <x v="3"/>
            <x v="4"/>
            <x v="5"/>
            <x v="7"/>
            <x v="8"/>
          </reference>
        </references>
      </pivotArea>
    </format>
  </formats>
  <chartFormats count="19">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6" format="2">
      <pivotArea type="data" outline="0" fieldPosition="0">
        <references count="2">
          <reference field="4294967294" count="1" selected="0">
            <x v="0"/>
          </reference>
          <reference field="24" count="1" selected="0">
            <x v="2"/>
          </reference>
        </references>
      </pivotArea>
    </chartFormat>
    <chartFormat chart="16" format="3">
      <pivotArea type="data" outline="0" fieldPosition="0">
        <references count="2">
          <reference field="4294967294" count="1" selected="0">
            <x v="0"/>
          </reference>
          <reference field="24" count="1" selected="0">
            <x v="3"/>
          </reference>
        </references>
      </pivotArea>
    </chartFormat>
    <chartFormat chart="16" format="4">
      <pivotArea type="data" outline="0" fieldPosition="0">
        <references count="2">
          <reference field="4294967294" count="1" selected="0">
            <x v="0"/>
          </reference>
          <reference field="24" count="1" selected="0">
            <x v="4"/>
          </reference>
        </references>
      </pivotArea>
    </chartFormat>
    <chartFormat chart="16" format="5">
      <pivotArea type="data" outline="0" fieldPosition="0">
        <references count="2">
          <reference field="4294967294" count="1" selected="0">
            <x v="0"/>
          </reference>
          <reference field="24" count="1" selected="0">
            <x v="5"/>
          </reference>
        </references>
      </pivotArea>
    </chartFormat>
    <chartFormat chart="16" format="6">
      <pivotArea type="data" outline="0" fieldPosition="0">
        <references count="2">
          <reference field="4294967294" count="1" selected="0">
            <x v="0"/>
          </reference>
          <reference field="24" count="1" selected="0">
            <x v="7"/>
          </reference>
        </references>
      </pivotArea>
    </chartFormat>
    <chartFormat chart="16" format="7">
      <pivotArea type="data" outline="0" fieldPosition="0">
        <references count="2">
          <reference field="4294967294" count="1" selected="0">
            <x v="0"/>
          </reference>
          <reference field="24" count="1" selected="0">
            <x v="8"/>
          </reference>
        </references>
      </pivotArea>
    </chartFormat>
    <chartFormat chart="24" format="15" series="1">
      <pivotArea type="data" outline="0" fieldPosition="0">
        <references count="1">
          <reference field="4294967294" count="1" selected="0">
            <x v="0"/>
          </reference>
        </references>
      </pivotArea>
    </chartFormat>
    <chartFormat chart="24" format="16">
      <pivotArea type="data" outline="0" fieldPosition="0">
        <references count="2">
          <reference field="4294967294" count="1" selected="0">
            <x v="0"/>
          </reference>
          <reference field="24" count="1" selected="0">
            <x v="8"/>
          </reference>
        </references>
      </pivotArea>
    </chartFormat>
    <chartFormat chart="24" format="17">
      <pivotArea type="data" outline="0" fieldPosition="0">
        <references count="2">
          <reference field="4294967294" count="1" selected="0">
            <x v="0"/>
          </reference>
          <reference field="24" count="1" selected="0">
            <x v="7"/>
          </reference>
        </references>
      </pivotArea>
    </chartFormat>
    <chartFormat chart="24" format="18">
      <pivotArea type="data" outline="0" fieldPosition="0">
        <references count="2">
          <reference field="4294967294" count="1" selected="0">
            <x v="0"/>
          </reference>
          <reference field="24" count="1" selected="0">
            <x v="5"/>
          </reference>
        </references>
      </pivotArea>
    </chartFormat>
    <chartFormat chart="24" format="19">
      <pivotArea type="data" outline="0" fieldPosition="0">
        <references count="2">
          <reference field="4294967294" count="1" selected="0">
            <x v="0"/>
          </reference>
          <reference field="24" count="1" selected="0">
            <x v="4"/>
          </reference>
        </references>
      </pivotArea>
    </chartFormat>
    <chartFormat chart="24" format="20">
      <pivotArea type="data" outline="0" fieldPosition="0">
        <references count="2">
          <reference field="4294967294" count="1" selected="0">
            <x v="0"/>
          </reference>
          <reference field="24" count="1" selected="0">
            <x v="3"/>
          </reference>
        </references>
      </pivotArea>
    </chartFormat>
    <chartFormat chart="24" format="21">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filters count="3">
    <filter fld="1" type="count" evalOrder="-1" id="2" iMeasureFld="0">
      <autoFilter ref="A1">
        <filterColumn colId="0">
          <top10 val="12" filterVal="12"/>
        </filterColumn>
      </autoFilter>
    </filter>
    <filter fld="21" type="count" evalOrder="-1" id="3" iMeasureFld="0">
      <autoFilter ref="A1">
        <filterColumn colId="0">
          <top10 val="6" filterVal="6"/>
        </filterColumn>
      </autoFilter>
    </filter>
    <filter fld="24"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4359B2-C9F8-42D2-8A7A-181678B31023}"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6" firstHeaderRow="1" firstDataRow="1" firstDataCol="1"/>
  <pivotFields count="26">
    <pivotField showAll="0"/>
    <pivotField numFmtId="165" showAll="0" measureFilter="1" sortType="descending"/>
    <pivotField showAll="0"/>
    <pivotField showAll="0"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items count="13">
        <item x="8"/>
        <item x="7"/>
        <item x="3"/>
        <item x="0"/>
        <item x="4"/>
        <item x="6"/>
        <item x="9"/>
        <item x="5"/>
        <item x="1"/>
        <item x="2"/>
        <item x="11"/>
        <item x="10"/>
        <item t="default"/>
      </items>
    </pivotField>
    <pivotField axis="axisRow" showAll="0" sortType="descending">
      <items count="13">
        <item x="4"/>
        <item x="3"/>
        <item x="9"/>
        <item x="8"/>
        <item x="7"/>
        <item x="0"/>
        <item x="1"/>
        <item x="2"/>
        <item x="6"/>
        <item x="11"/>
        <item x="10"/>
        <item x="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sortType="descending">
      <items count="26">
        <item x="18"/>
        <item x="0"/>
        <item x="11"/>
        <item x="12"/>
        <item x="4"/>
        <item x="7"/>
        <item x="6"/>
        <item x="8"/>
        <item x="5"/>
        <item x="13"/>
        <item x="9"/>
        <item x="3"/>
        <item x="2"/>
        <item x="1"/>
        <item x="19"/>
        <item x="20"/>
        <item x="10"/>
        <item x="24"/>
        <item x="23"/>
        <item x="15"/>
        <item x="22"/>
        <item x="14"/>
        <item x="21"/>
        <item x="16"/>
        <item x="17"/>
        <item t="default"/>
      </items>
      <autoSortScope>
        <pivotArea dataOnly="0" outline="0" fieldPosition="0">
          <references count="1">
            <reference field="4294967294" count="1" selected="0">
              <x v="0"/>
            </reference>
          </references>
        </pivotArea>
      </autoSortScope>
    </pivotField>
    <pivotField showAll="0" measureFilter="1" sortType="descending">
      <items count="17">
        <item x="2"/>
        <item x="0"/>
        <item x="3"/>
        <item x="8"/>
        <item x="7"/>
        <item x="10"/>
        <item x="1"/>
        <item x="12"/>
        <item x="14"/>
        <item x="6"/>
        <item x="13"/>
        <item x="9"/>
        <item x="5"/>
        <item m="1" x="15"/>
        <item x="4"/>
        <item x="11"/>
        <item t="default"/>
      </items>
      <autoSortScope>
        <pivotArea dataOnly="0" outline="0" fieldPosition="0">
          <references count="1">
            <reference field="4294967294" count="1" selected="0">
              <x v="0"/>
            </reference>
          </references>
        </pivotArea>
      </autoSortScope>
    </pivotField>
    <pivotField showAll="0"/>
    <pivotField showAll="0"/>
    <pivotField dataField="1" numFmtId="166" showAll="0">
      <items count="11">
        <item x="0"/>
        <item x="1"/>
        <item x="2"/>
        <item x="3"/>
        <item x="4"/>
        <item x="5"/>
        <item x="6"/>
        <item x="7"/>
        <item x="8"/>
        <item x="9"/>
        <item t="default"/>
      </items>
    </pivotField>
    <pivotField numFmtId="166" showAll="0"/>
  </pivotFields>
  <rowFields count="1">
    <field x="6"/>
  </rowFields>
  <rowItems count="13">
    <i>
      <x v="6"/>
    </i>
    <i>
      <x v="7"/>
    </i>
    <i>
      <x v="2"/>
    </i>
    <i>
      <x v="8"/>
    </i>
    <i>
      <x v="4"/>
    </i>
    <i>
      <x v="11"/>
    </i>
    <i>
      <x v="10"/>
    </i>
    <i>
      <x v="9"/>
    </i>
    <i>
      <x/>
    </i>
    <i>
      <x v="3"/>
    </i>
    <i>
      <x v="1"/>
    </i>
    <i>
      <x v="5"/>
    </i>
    <i t="grand">
      <x/>
    </i>
  </rowItems>
  <colItems count="1">
    <i/>
  </colItems>
  <dataFields count="1">
    <dataField name="Sum of Revenue" fld="24" baseField="5" baseItem="0" numFmtId="166"/>
  </dataFields>
  <chartFormats count="6">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count" evalOrder="-1" id="2" iMeasureFld="0">
      <autoFilter ref="A1">
        <filterColumn colId="0">
          <top10 val="12" filterVal="12"/>
        </filterColumn>
      </autoFilter>
    </filter>
    <filter fld="21" type="count" evalOrder="-1" id="3"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6B2D16-AB8C-4760-863F-031156B3630C}"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0" firstHeaderRow="1" firstDataRow="1" firstDataCol="1"/>
  <pivotFields count="26">
    <pivotField showAll="0"/>
    <pivotField numFmtId="165" showAll="0" measureFilter="1" sortType="descending"/>
    <pivotField showAll="0"/>
    <pivotField showAll="0"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sortType="descending">
      <items count="13">
        <item x="4"/>
        <item x="3"/>
        <item x="9"/>
        <item x="8"/>
        <item x="7"/>
        <item x="0"/>
        <item x="1"/>
        <item x="2"/>
        <item x="6"/>
        <item x="11"/>
        <item x="10"/>
        <item x="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sortType="descending">
      <items count="26">
        <item x="18"/>
        <item x="0"/>
        <item x="11"/>
        <item x="12"/>
        <item x="4"/>
        <item x="7"/>
        <item x="6"/>
        <item x="8"/>
        <item x="5"/>
        <item x="13"/>
        <item x="9"/>
        <item x="3"/>
        <item x="2"/>
        <item x="1"/>
        <item x="19"/>
        <item x="20"/>
        <item x="10"/>
        <item x="24"/>
        <item x="23"/>
        <item x="15"/>
        <item x="22"/>
        <item x="14"/>
        <item x="21"/>
        <item x="16"/>
        <item x="17"/>
        <item t="default"/>
      </items>
      <autoSortScope>
        <pivotArea dataOnly="0" outline="0" fieldPosition="0">
          <references count="1">
            <reference field="4294967294" count="1" selected="0">
              <x v="0"/>
            </reference>
          </references>
        </pivotArea>
      </autoSortScope>
    </pivotField>
    <pivotField showAll="0" measureFilter="1" sortType="descending">
      <items count="17">
        <item x="2"/>
        <item x="0"/>
        <item x="3"/>
        <item x="8"/>
        <item x="7"/>
        <item x="10"/>
        <item x="1"/>
        <item x="12"/>
        <item x="14"/>
        <item x="6"/>
        <item x="13"/>
        <item x="9"/>
        <item x="5"/>
        <item m="1" x="15"/>
        <item x="4"/>
        <item x="11"/>
        <item t="default"/>
      </items>
      <autoSortScope>
        <pivotArea dataOnly="0" outline="0" fieldPosition="0">
          <references count="1">
            <reference field="4294967294" count="1" selected="0">
              <x v="0"/>
            </reference>
          </references>
        </pivotArea>
      </autoSortScope>
    </pivotField>
    <pivotField showAll="0"/>
    <pivotField showAll="0"/>
    <pivotField dataField="1" numFmtId="166" showAll="0">
      <items count="11">
        <item x="0"/>
        <item x="1"/>
        <item x="2"/>
        <item x="3"/>
        <item x="4"/>
        <item x="5"/>
        <item x="6"/>
        <item x="7"/>
        <item x="8"/>
        <item x="9"/>
        <item t="default"/>
      </items>
    </pivotField>
    <pivotField numFmtId="166" showAll="0"/>
  </pivotFields>
  <rowFields count="1">
    <field x="15"/>
  </rowFields>
  <rowItems count="7">
    <i>
      <x v="8"/>
    </i>
    <i>
      <x v="9"/>
    </i>
    <i>
      <x v="6"/>
    </i>
    <i>
      <x v="5"/>
    </i>
    <i>
      <x v="1"/>
    </i>
    <i>
      <x v="7"/>
    </i>
    <i t="grand">
      <x/>
    </i>
  </rowItems>
  <colItems count="1">
    <i/>
  </colItems>
  <dataFields count="1">
    <dataField name="Sum of Revenue" fld="24" baseField="5" baseItem="0" numFmtId="166"/>
  </dataFields>
  <chartFormats count="19">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15" count="1" selected="0">
            <x v="9"/>
          </reference>
        </references>
      </pivotArea>
    </chartFormat>
    <chartFormat chart="17" format="8">
      <pivotArea type="data" outline="0" fieldPosition="0">
        <references count="2">
          <reference field="4294967294" count="1" selected="0">
            <x v="0"/>
          </reference>
          <reference field="15" count="1" selected="0">
            <x v="6"/>
          </reference>
        </references>
      </pivotArea>
    </chartFormat>
    <chartFormat chart="17" format="9">
      <pivotArea type="data" outline="0" fieldPosition="0">
        <references count="2">
          <reference field="4294967294" count="1" selected="0">
            <x v="0"/>
          </reference>
          <reference field="15" count="1" selected="0">
            <x v="5"/>
          </reference>
        </references>
      </pivotArea>
    </chartFormat>
    <chartFormat chart="17" format="10">
      <pivotArea type="data" outline="0" fieldPosition="0">
        <references count="2">
          <reference field="4294967294" count="1" selected="0">
            <x v="0"/>
          </reference>
          <reference field="15" count="1" selected="0">
            <x v="1"/>
          </reference>
        </references>
      </pivotArea>
    </chartFormat>
    <chartFormat chart="17" format="11">
      <pivotArea type="data" outline="0" fieldPosition="0">
        <references count="2">
          <reference field="4294967294" count="1" selected="0">
            <x v="0"/>
          </reference>
          <reference field="15" count="1" selected="0">
            <x v="7"/>
          </reference>
        </references>
      </pivotArea>
    </chartFormat>
    <chartFormat chart="21" format="18" series="1">
      <pivotArea type="data" outline="0" fieldPosition="0">
        <references count="1">
          <reference field="4294967294" count="1" selected="0">
            <x v="0"/>
          </reference>
        </references>
      </pivotArea>
    </chartFormat>
    <chartFormat chart="21" format="19">
      <pivotArea type="data" outline="0" fieldPosition="0">
        <references count="2">
          <reference field="4294967294" count="1" selected="0">
            <x v="0"/>
          </reference>
          <reference field="15" count="1" selected="0">
            <x v="9"/>
          </reference>
        </references>
      </pivotArea>
    </chartFormat>
    <chartFormat chart="21" format="20">
      <pivotArea type="data" outline="0" fieldPosition="0">
        <references count="2">
          <reference field="4294967294" count="1" selected="0">
            <x v="0"/>
          </reference>
          <reference field="15" count="1" selected="0">
            <x v="6"/>
          </reference>
        </references>
      </pivotArea>
    </chartFormat>
    <chartFormat chart="21" format="21">
      <pivotArea type="data" outline="0" fieldPosition="0">
        <references count="2">
          <reference field="4294967294" count="1" selected="0">
            <x v="0"/>
          </reference>
          <reference field="15" count="1" selected="0">
            <x v="5"/>
          </reference>
        </references>
      </pivotArea>
    </chartFormat>
    <chartFormat chart="21" format="22">
      <pivotArea type="data" outline="0" fieldPosition="0">
        <references count="2">
          <reference field="4294967294" count="1" selected="0">
            <x v="0"/>
          </reference>
          <reference field="15" count="1" selected="0">
            <x v="1"/>
          </reference>
        </references>
      </pivotArea>
    </chartFormat>
    <chartFormat chart="21" format="23">
      <pivotArea type="data" outline="0" fieldPosition="0">
        <references count="2">
          <reference field="4294967294" count="1" selected="0">
            <x v="0"/>
          </reference>
          <reference field="15" count="1" selected="0">
            <x v="7"/>
          </reference>
        </references>
      </pivotArea>
    </chartFormat>
    <chartFormat chart="21" format="24">
      <pivotArea type="data" outline="0" fieldPosition="0">
        <references count="2">
          <reference field="4294967294" count="1" selected="0">
            <x v="0"/>
          </reference>
          <reference field="15" count="1" selected="0">
            <x v="8"/>
          </reference>
        </references>
      </pivotArea>
    </chartFormat>
  </chartFormats>
  <pivotTableStyleInfo name="PivotStyleLight16" showRowHeaders="1" showColHeaders="1" showRowStripes="0" showColStripes="0" showLastColumn="1"/>
  <filters count="4">
    <filter fld="1" type="count" evalOrder="-1" id="2" iMeasureFld="0">
      <autoFilter ref="A1">
        <filterColumn colId="0">
          <top10 val="12" filterVal="12"/>
        </filterColumn>
      </autoFilter>
    </filter>
    <filter fld="21" type="count" evalOrder="-1" id="3" iMeasureFld="0">
      <autoFilter ref="A1">
        <filterColumn colId="0">
          <top10 val="6" filterVal="6"/>
        </filterColumn>
      </autoFilter>
    </filter>
    <filter fld="5" type="count" evalOrder="-1" id="4" iMeasureFld="0">
      <autoFilter ref="A1">
        <filterColumn colId="0">
          <top10 val="6" filterVal="6"/>
        </filterColumn>
      </autoFilter>
    </filter>
    <filter fld="15" type="count" evalOrder="-1" id="5"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CCEC28C-2AAA-4FC0-9A52-ACBF32475FC8}"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9" firstHeaderRow="1" firstDataRow="1" firstDataCol="1"/>
  <pivotFields count="26">
    <pivotField showAll="0"/>
    <pivotField numFmtId="165" showAll="0" measureFilter="1" sortType="descending"/>
    <pivotField showAll="0"/>
    <pivotField showAll="0"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axis="axisRow"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sortType="descending">
      <items count="13">
        <item x="4"/>
        <item x="3"/>
        <item x="9"/>
        <item x="8"/>
        <item x="7"/>
        <item x="0"/>
        <item x="1"/>
        <item x="2"/>
        <item x="6"/>
        <item x="11"/>
        <item x="10"/>
        <item x="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sortType="descending">
      <items count="26">
        <item x="18"/>
        <item x="0"/>
        <item x="11"/>
        <item x="12"/>
        <item x="4"/>
        <item x="7"/>
        <item x="6"/>
        <item x="8"/>
        <item x="5"/>
        <item x="13"/>
        <item x="9"/>
        <item x="3"/>
        <item x="2"/>
        <item x="1"/>
        <item x="19"/>
        <item x="20"/>
        <item x="10"/>
        <item x="24"/>
        <item x="23"/>
        <item x="15"/>
        <item x="22"/>
        <item x="14"/>
        <item x="21"/>
        <item x="16"/>
        <item x="17"/>
        <item t="default"/>
      </items>
      <autoSortScope>
        <pivotArea dataOnly="0" outline="0" fieldPosition="0">
          <references count="1">
            <reference field="4294967294" count="1" selected="0">
              <x v="0"/>
            </reference>
          </references>
        </pivotArea>
      </autoSortScope>
    </pivotField>
    <pivotField showAll="0" measureFilter="1" sortType="descending">
      <items count="17">
        <item x="2"/>
        <item x="0"/>
        <item x="3"/>
        <item x="8"/>
        <item x="7"/>
        <item x="10"/>
        <item x="1"/>
        <item x="12"/>
        <item x="14"/>
        <item x="6"/>
        <item x="13"/>
        <item x="9"/>
        <item x="5"/>
        <item m="1" x="15"/>
        <item x="4"/>
        <item x="11"/>
        <item t="default"/>
      </items>
      <autoSortScope>
        <pivotArea dataOnly="0" outline="0" fieldPosition="0">
          <references count="1">
            <reference field="4294967294" count="1" selected="0">
              <x v="0"/>
            </reference>
          </references>
        </pivotArea>
      </autoSortScope>
    </pivotField>
    <pivotField showAll="0"/>
    <pivotField showAll="0"/>
    <pivotField dataField="1" numFmtId="166" showAll="0">
      <items count="11">
        <item x="0"/>
        <item x="1"/>
        <item x="2"/>
        <item x="3"/>
        <item x="4"/>
        <item x="5"/>
        <item x="6"/>
        <item x="7"/>
        <item x="8"/>
        <item x="9"/>
        <item t="default"/>
      </items>
    </pivotField>
    <pivotField numFmtId="166" showAll="0"/>
  </pivotFields>
  <rowFields count="1">
    <field x="5"/>
  </rowFields>
  <rowItems count="6">
    <i>
      <x v="8"/>
    </i>
    <i>
      <x v="9"/>
    </i>
    <i>
      <x v="6"/>
    </i>
    <i>
      <x v="5"/>
    </i>
    <i>
      <x v="1"/>
    </i>
    <i t="grand">
      <x/>
    </i>
  </rowItems>
  <colItems count="1">
    <i/>
  </colItems>
  <dataFields count="1">
    <dataField name="Sum of Revenue" fld="24" baseField="5" baseItem="0" numFmtId="166"/>
  </dataFields>
  <chartFormats count="20">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5" count="1" selected="0">
            <x v="8"/>
          </reference>
        </references>
      </pivotArea>
    </chartFormat>
    <chartFormat chart="17" format="2">
      <pivotArea type="data" outline="0" fieldPosition="0">
        <references count="2">
          <reference field="4294967294" count="1" selected="0">
            <x v="0"/>
          </reference>
          <reference field="5" count="1" selected="0">
            <x v="9"/>
          </reference>
        </references>
      </pivotArea>
    </chartFormat>
    <chartFormat chart="17" format="3">
      <pivotArea type="data" outline="0" fieldPosition="0">
        <references count="2">
          <reference field="4294967294" count="1" selected="0">
            <x v="0"/>
          </reference>
          <reference field="5" count="1" selected="0">
            <x v="6"/>
          </reference>
        </references>
      </pivotArea>
    </chartFormat>
    <chartFormat chart="17" format="4">
      <pivotArea type="data" outline="0" fieldPosition="0">
        <references count="2">
          <reference field="4294967294" count="1" selected="0">
            <x v="0"/>
          </reference>
          <reference field="5" count="1" selected="0">
            <x v="5"/>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7"/>
          </reference>
        </references>
      </pivotArea>
    </chartFormat>
    <chartFormat chart="18" format="7" series="1">
      <pivotArea type="data" outline="0" fieldPosition="0">
        <references count="1">
          <reference field="4294967294" count="1" selected="0">
            <x v="0"/>
          </reference>
        </references>
      </pivotArea>
    </chartFormat>
    <chartFormat chart="18" format="8">
      <pivotArea type="data" outline="0" fieldPosition="0">
        <references count="2">
          <reference field="4294967294" count="1" selected="0">
            <x v="0"/>
          </reference>
          <reference field="5" count="1" selected="0">
            <x v="8"/>
          </reference>
        </references>
      </pivotArea>
    </chartFormat>
    <chartFormat chart="18" format="9">
      <pivotArea type="data" outline="0" fieldPosition="0">
        <references count="2">
          <reference field="4294967294" count="1" selected="0">
            <x v="0"/>
          </reference>
          <reference field="5" count="1" selected="0">
            <x v="9"/>
          </reference>
        </references>
      </pivotArea>
    </chartFormat>
    <chartFormat chart="18" format="10">
      <pivotArea type="data" outline="0" fieldPosition="0">
        <references count="2">
          <reference field="4294967294" count="1" selected="0">
            <x v="0"/>
          </reference>
          <reference field="5" count="1" selected="0">
            <x v="6"/>
          </reference>
        </references>
      </pivotArea>
    </chartFormat>
    <chartFormat chart="18" format="11">
      <pivotArea type="data" outline="0" fieldPosition="0">
        <references count="2">
          <reference field="4294967294" count="1" selected="0">
            <x v="0"/>
          </reference>
          <reference field="5" count="1" selected="0">
            <x v="5"/>
          </reference>
        </references>
      </pivotArea>
    </chartFormat>
    <chartFormat chart="18" format="12">
      <pivotArea type="data" outline="0" fieldPosition="0">
        <references count="2">
          <reference field="4294967294" count="1" selected="0">
            <x v="0"/>
          </reference>
          <reference field="5" count="1" selected="0">
            <x v="1"/>
          </reference>
        </references>
      </pivotArea>
    </chartFormat>
    <chartFormat chart="18" format="13">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filters count="3">
    <filter fld="5" type="count" evalOrder="-1" id="6" iMeasureFld="0">
      <autoFilter ref="A1">
        <filterColumn colId="0">
          <top10 val="5" filterVal="5"/>
        </filterColumn>
      </autoFilter>
    </filter>
    <filter fld="1" type="count" evalOrder="-1" id="2" iMeasureFld="0">
      <autoFilter ref="A1">
        <filterColumn colId="0">
          <top10 val="12" filterVal="12"/>
        </filterColumn>
      </autoFilter>
    </filter>
    <filter fld="21" type="count" evalOrder="-1" id="3"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693CDFAD-C409-4565-B826-E3CB5864C484}" sourceName="Salesperson">
  <pivotTables>
    <pivotTable tabId="24" name="PivotTable1"/>
    <pivotTable tabId="28" name="PivotTable1"/>
    <pivotTable tabId="25" name="PivotTable1"/>
    <pivotTable tabId="22" name="PivotTable1"/>
    <pivotTable tabId="20" name="PivotTable1"/>
    <pivotTable tabId="23" name="PivotTable1"/>
    <pivotTable tabId="27" name="PivotTable1"/>
    <pivotTable tabId="29" name="PivotTable1"/>
    <pivotTable tabId="30" name="PivotTable1"/>
    <pivotTable tabId="26" name="PivotTable1"/>
  </pivotTables>
  <data>
    <tabular pivotCacheId="1349796660">
      <items count="8">
        <i x="1" s="1"/>
        <i x="5" s="1"/>
        <i x="3" s="1"/>
        <i x="6" s="1"/>
        <i x="0" s="1"/>
        <i x="4" s="1"/>
        <i x="2"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24695AA-660D-464D-A54B-C2BD3785BBF9}" sourceName="Region">
  <pivotTables>
    <pivotTable tabId="27" name="PivotTable1"/>
    <pivotTable tabId="28" name="PivotTable1"/>
    <pivotTable tabId="25" name="PivotTable1"/>
    <pivotTable tabId="24" name="PivotTable1"/>
    <pivotTable tabId="22" name="PivotTable1"/>
    <pivotTable tabId="20" name="PivotTable1"/>
    <pivotTable tabId="23" name="PivotTable1"/>
    <pivotTable tabId="29" name="PivotTable1"/>
    <pivotTable tabId="30" name="PivotTable1"/>
    <pivotTable tabId="26" name="PivotTable1"/>
  </pivotTables>
  <data>
    <tabular pivotCacheId="1349796660">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0F732DA9-C25F-4ECE-BA9D-DEDEE5BFE8D2}" sourceName="Product Name">
  <pivotTables>
    <pivotTable tabId="24" name="PivotTable1"/>
    <pivotTable tabId="28" name="PivotTable1"/>
    <pivotTable tabId="25" name="PivotTable1"/>
    <pivotTable tabId="22" name="PivotTable1"/>
    <pivotTable tabId="20" name="PivotTable1"/>
    <pivotTable tabId="23" name="PivotTable1"/>
    <pivotTable tabId="27" name="PivotTable1"/>
    <pivotTable tabId="29" name="PivotTable1"/>
    <pivotTable tabId="30" name="PivotTable1"/>
    <pivotTable tabId="26" name="PivotTable1"/>
  </pivotTables>
  <data>
    <tabular pivotCacheId="1349796660">
      <items count="25">
        <i x="18" s="1"/>
        <i x="0" s="1"/>
        <i x="11" s="1"/>
        <i x="12" s="1"/>
        <i x="4" s="1"/>
        <i x="7" s="1"/>
        <i x="6" s="1"/>
        <i x="8" s="1"/>
        <i x="5" s="1"/>
        <i x="13" s="1"/>
        <i x="9" s="1"/>
        <i x="3" s="1"/>
        <i x="2" s="1"/>
        <i x="1" s="1"/>
        <i x="19" s="1"/>
        <i x="20" s="1"/>
        <i x="10" s="1"/>
        <i x="24" s="1"/>
        <i x="23" s="1"/>
        <i x="15" s="1"/>
        <i x="22" s="1"/>
        <i x="14" s="1"/>
        <i x="21" s="1"/>
        <i x="16" s="1"/>
        <i x="1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D9AE84C6-B562-4C16-A4AF-3847D3E5741B}" sourceName="Customer Name">
  <pivotTables>
    <pivotTable tabId="24" name="PivotTable1"/>
    <pivotTable tabId="28" name="PivotTable1"/>
    <pivotTable tabId="25" name="PivotTable1"/>
    <pivotTable tabId="22" name="PivotTable1"/>
    <pivotTable tabId="20" name="PivotTable1"/>
    <pivotTable tabId="23" name="PivotTable1"/>
    <pivotTable tabId="27" name="PivotTable1"/>
    <pivotTable tabId="29" name="PivotTable1"/>
    <pivotTable tabId="30" name="PivotTable1"/>
    <pivotTable tabId="26" name="PivotTable1"/>
  </pivotTables>
  <data>
    <tabular pivotCacheId="1349796660">
      <items count="15">
        <i x="11" s="1"/>
        <i x="0" s="1"/>
        <i x="7" s="1"/>
        <i x="5" s="1"/>
        <i x="4" s="1"/>
        <i x="1" s="1"/>
        <i x="6" s="1"/>
        <i x="9" s="1"/>
        <i x="3" s="1"/>
        <i x="12" s="1"/>
        <i x="8" s="1"/>
        <i x="10" s="1"/>
        <i x="2" s="1"/>
        <i x="13"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7B087D4B-E69A-4694-A3E0-EEB1FE1429AC}" cache="Slicer_Salesperson" caption="Salesperson" style="SlicerStyleDark5" rowHeight="241300"/>
  <slicer name="Region" xr10:uid="{75229631-87DF-4003-AF75-D39631A381EE}" cache="Slicer_Region" caption="Region" style="SlicerStyleDark5" rowHeight="241300"/>
  <slicer name="Product Name" xr10:uid="{E298394A-C05A-4BCF-9148-0110482C320B}" cache="Slicer_Product_Name" caption="Product Name" style="SlicerStyleDark5" rowHeight="241300"/>
  <slicer name="Customer Name" xr10:uid="{F4CE7179-2096-4D79-A65D-9DFB363E3A35}" cache="Slicer_Customer_Name" caption="Customer Name" startItem="14"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1"/>
        </a:solidFill>
      </a:spPr>
      <a:bodyPr vertOverflow="clip" horzOverflow="clip" rtlCol="0" anchor="ctr"/>
      <a:lstStyle>
        <a:defPPr algn="ctr">
          <a:defRPr sz="800" b="1">
            <a:solidFill>
              <a:schemeClr val="accent5">
                <a:lumMod val="50000"/>
              </a:schemeClr>
            </a:solidFill>
            <a:latin typeface="Garamond" panose="02020404030301010803" pitchFamily="18" charset="0"/>
          </a:defRPr>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www.excelcampus.com/pivot-tables/pivot-tables-work/" TargetMode="External"/></Relationships>
</file>

<file path=xl/worksheets/_rels/sheet1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61FB6-D025-415A-A7B9-C746D2BAC75E}">
  <dimension ref="A2:A11"/>
  <sheetViews>
    <sheetView zoomScale="65" zoomScaleNormal="65" workbookViewId="0">
      <selection activeCell="A11" sqref="A11"/>
    </sheetView>
  </sheetViews>
  <sheetFormatPr defaultRowHeight="14.5" x14ac:dyDescent="0.35"/>
  <cols>
    <col min="1" max="1" width="66.453125" customWidth="1"/>
    <col min="3" max="3" width="9.1796875" customWidth="1"/>
  </cols>
  <sheetData>
    <row r="2" spans="1:1" ht="21" x14ac:dyDescent="0.5">
      <c r="A2" s="7" t="s">
        <v>161</v>
      </c>
    </row>
    <row r="3" spans="1:1" ht="68.25" customHeight="1" x14ac:dyDescent="0.35">
      <c r="A3" s="9" t="s">
        <v>162</v>
      </c>
    </row>
    <row r="4" spans="1:1" ht="21" x14ac:dyDescent="0.5">
      <c r="A4" s="8" t="s">
        <v>156</v>
      </c>
    </row>
    <row r="5" spans="1:1" ht="21" x14ac:dyDescent="0.5">
      <c r="A5" s="8" t="s">
        <v>157</v>
      </c>
    </row>
    <row r="6" spans="1:1" ht="21" x14ac:dyDescent="0.5">
      <c r="A6" s="8" t="s">
        <v>158</v>
      </c>
    </row>
    <row r="7" spans="1:1" ht="21" x14ac:dyDescent="0.5">
      <c r="A7" s="8" t="s">
        <v>159</v>
      </c>
    </row>
    <row r="8" spans="1:1" ht="21" x14ac:dyDescent="0.5">
      <c r="A8" s="8" t="s">
        <v>160</v>
      </c>
    </row>
    <row r="9" spans="1:1" ht="21" x14ac:dyDescent="0.5">
      <c r="A9" s="8" t="s">
        <v>163</v>
      </c>
    </row>
    <row r="10" spans="1:1" ht="21" x14ac:dyDescent="0.5">
      <c r="A10" s="8" t="s">
        <v>164</v>
      </c>
    </row>
    <row r="11" spans="1:1" ht="21" x14ac:dyDescent="0.5">
      <c r="A11" s="8" t="s">
        <v>165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FC9F2-3CE2-41B3-9651-40F3636B85BA}">
  <sheetPr filterMode="1">
    <tabColor theme="1" tint="0.249977111117893"/>
  </sheetPr>
  <dimension ref="A1:Z370"/>
  <sheetViews>
    <sheetView topLeftCell="L1" zoomScale="70" zoomScaleNormal="70" workbookViewId="0">
      <pane ySplit="1" topLeftCell="A34" activePane="bottomLeft" state="frozen"/>
      <selection pane="bottomLeft" activeCell="X371" sqref="X371"/>
    </sheetView>
  </sheetViews>
  <sheetFormatPr defaultRowHeight="14.5" x14ac:dyDescent="0.35"/>
  <cols>
    <col min="1" max="1" width="10.54296875" customWidth="1"/>
    <col min="2" max="2" width="10.7265625" bestFit="1" customWidth="1"/>
    <col min="3" max="3" width="14.1796875" bestFit="1" customWidth="1"/>
    <col min="4" max="4" width="15.453125" bestFit="1" customWidth="1"/>
    <col min="5" max="5" width="14.26953125" bestFit="1" customWidth="1"/>
    <col min="6" max="6" width="12.54296875" bestFit="1" customWidth="1"/>
    <col min="7" max="7" width="5.54296875" bestFit="1" customWidth="1"/>
    <col min="8" max="9" width="15.1796875" bestFit="1" customWidth="1"/>
    <col min="10" max="10" width="19.7265625" bestFit="1" customWidth="1"/>
    <col min="11" max="11" width="7.1796875" bestFit="1" customWidth="1"/>
    <col min="12" max="12" width="12.81640625" bestFit="1" customWidth="1"/>
    <col min="13" max="13" width="19.453125" bestFit="1" customWidth="1"/>
    <col min="14" max="14" width="21.54296875" bestFit="1" customWidth="1"/>
    <col min="15" max="15" width="14.26953125" bestFit="1" customWidth="1"/>
    <col min="16" max="16" width="12.54296875" bestFit="1" customWidth="1"/>
    <col min="17" max="17" width="9.81640625" bestFit="1" customWidth="1"/>
    <col min="18" max="19" width="19.54296875" bestFit="1" customWidth="1"/>
    <col min="20" max="20" width="13.7265625" bestFit="1" customWidth="1"/>
    <col min="21" max="21" width="21" bestFit="1" customWidth="1"/>
    <col min="22" max="22" width="25" bestFit="1" customWidth="1"/>
    <col min="23" max="23" width="9.7265625" bestFit="1" customWidth="1"/>
    <col min="24" max="24" width="8.7265625" bestFit="1" customWidth="1"/>
    <col min="25" max="25" width="19.54296875" customWidth="1"/>
    <col min="26" max="26" width="12.453125" bestFit="1" customWidth="1"/>
  </cols>
  <sheetData>
    <row r="1" spans="1:2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idden="1" x14ac:dyDescent="0.35">
      <c r="A2">
        <v>1001</v>
      </c>
      <c r="B2" s="2">
        <v>41666</v>
      </c>
      <c r="C2">
        <v>27</v>
      </c>
      <c r="D2" t="s">
        <v>26</v>
      </c>
      <c r="E2" t="s">
        <v>27</v>
      </c>
      <c r="F2" t="s">
        <v>28</v>
      </c>
      <c r="G2" t="s">
        <v>29</v>
      </c>
      <c r="H2">
        <v>99999</v>
      </c>
      <c r="I2" t="s">
        <v>30</v>
      </c>
      <c r="J2" t="s">
        <v>31</v>
      </c>
      <c r="K2" t="s">
        <v>32</v>
      </c>
      <c r="L2" s="2">
        <v>41668</v>
      </c>
      <c r="M2" t="s">
        <v>33</v>
      </c>
      <c r="N2" t="s">
        <v>34</v>
      </c>
      <c r="O2" t="s">
        <v>27</v>
      </c>
      <c r="P2" t="s">
        <v>28</v>
      </c>
      <c r="Q2" t="s">
        <v>29</v>
      </c>
      <c r="R2">
        <v>99999</v>
      </c>
      <c r="S2" t="s">
        <v>30</v>
      </c>
      <c r="T2" t="s">
        <v>35</v>
      </c>
      <c r="U2" t="s">
        <v>36</v>
      </c>
      <c r="V2" t="s">
        <v>37</v>
      </c>
      <c r="W2" s="3">
        <v>14</v>
      </c>
      <c r="X2">
        <v>49</v>
      </c>
      <c r="Y2" s="4">
        <v>686</v>
      </c>
      <c r="Z2" s="3">
        <v>66.542000000000002</v>
      </c>
    </row>
    <row r="3" spans="1:26" hidden="1" x14ac:dyDescent="0.35">
      <c r="A3">
        <v>1002</v>
      </c>
      <c r="B3" s="2">
        <v>41666</v>
      </c>
      <c r="C3">
        <v>27</v>
      </c>
      <c r="D3" t="s">
        <v>26</v>
      </c>
      <c r="E3" t="s">
        <v>27</v>
      </c>
      <c r="F3" t="s">
        <v>28</v>
      </c>
      <c r="G3" t="s">
        <v>29</v>
      </c>
      <c r="H3">
        <v>99999</v>
      </c>
      <c r="I3" t="s">
        <v>30</v>
      </c>
      <c r="J3" t="s">
        <v>31</v>
      </c>
      <c r="K3" t="s">
        <v>32</v>
      </c>
      <c r="L3" s="2">
        <v>41668</v>
      </c>
      <c r="M3" t="s">
        <v>33</v>
      </c>
      <c r="N3" t="s">
        <v>34</v>
      </c>
      <c r="O3" t="s">
        <v>27</v>
      </c>
      <c r="P3" t="s">
        <v>28</v>
      </c>
      <c r="Q3" t="s">
        <v>29</v>
      </c>
      <c r="R3">
        <v>99999</v>
      </c>
      <c r="S3" t="s">
        <v>30</v>
      </c>
      <c r="T3" t="s">
        <v>35</v>
      </c>
      <c r="U3" t="s">
        <v>38</v>
      </c>
      <c r="V3" t="s">
        <v>39</v>
      </c>
      <c r="W3" s="3">
        <v>3.5</v>
      </c>
      <c r="X3">
        <v>47</v>
      </c>
      <c r="Y3" s="4">
        <v>164.5</v>
      </c>
      <c r="Z3" s="3">
        <v>16.6145</v>
      </c>
    </row>
    <row r="4" spans="1:26" hidden="1" x14ac:dyDescent="0.35">
      <c r="A4">
        <v>1003</v>
      </c>
      <c r="B4" s="2">
        <v>41643</v>
      </c>
      <c r="C4">
        <v>4</v>
      </c>
      <c r="D4" t="s">
        <v>40</v>
      </c>
      <c r="E4" t="s">
        <v>41</v>
      </c>
      <c r="F4" t="s">
        <v>42</v>
      </c>
      <c r="G4" t="s">
        <v>43</v>
      </c>
      <c r="H4">
        <v>99999</v>
      </c>
      <c r="I4" t="s">
        <v>30</v>
      </c>
      <c r="J4" t="s">
        <v>44</v>
      </c>
      <c r="K4" t="s">
        <v>45</v>
      </c>
      <c r="L4" s="2">
        <v>41645</v>
      </c>
      <c r="M4" t="s">
        <v>46</v>
      </c>
      <c r="N4" t="s">
        <v>47</v>
      </c>
      <c r="O4" t="s">
        <v>41</v>
      </c>
      <c r="P4" t="s">
        <v>42</v>
      </c>
      <c r="Q4" t="s">
        <v>43</v>
      </c>
      <c r="R4">
        <v>99999</v>
      </c>
      <c r="S4" t="s">
        <v>30</v>
      </c>
      <c r="T4" t="s">
        <v>48</v>
      </c>
      <c r="U4" t="s">
        <v>49</v>
      </c>
      <c r="V4" t="s">
        <v>39</v>
      </c>
      <c r="W4" s="3">
        <v>30</v>
      </c>
      <c r="X4">
        <v>69</v>
      </c>
      <c r="Y4" s="4">
        <v>2070</v>
      </c>
      <c r="Z4" s="3">
        <v>198.72</v>
      </c>
    </row>
    <row r="5" spans="1:26" hidden="1" x14ac:dyDescent="0.35">
      <c r="A5">
        <v>1004</v>
      </c>
      <c r="B5" s="2">
        <v>41643</v>
      </c>
      <c r="C5">
        <v>4</v>
      </c>
      <c r="D5" t="s">
        <v>40</v>
      </c>
      <c r="E5" t="s">
        <v>41</v>
      </c>
      <c r="F5" t="s">
        <v>42</v>
      </c>
      <c r="G5" t="s">
        <v>43</v>
      </c>
      <c r="H5">
        <v>99999</v>
      </c>
      <c r="I5" t="s">
        <v>30</v>
      </c>
      <c r="J5" t="s">
        <v>44</v>
      </c>
      <c r="K5" t="s">
        <v>45</v>
      </c>
      <c r="L5" s="2">
        <v>41645</v>
      </c>
      <c r="M5" t="s">
        <v>46</v>
      </c>
      <c r="N5" t="s">
        <v>47</v>
      </c>
      <c r="O5" t="s">
        <v>41</v>
      </c>
      <c r="P5" t="s">
        <v>42</v>
      </c>
      <c r="Q5" t="s">
        <v>43</v>
      </c>
      <c r="R5">
        <v>99999</v>
      </c>
      <c r="S5" t="s">
        <v>30</v>
      </c>
      <c r="T5" t="s">
        <v>48</v>
      </c>
      <c r="U5" t="s">
        <v>50</v>
      </c>
      <c r="V5" t="s">
        <v>39</v>
      </c>
      <c r="W5" s="3">
        <v>53</v>
      </c>
      <c r="X5">
        <v>89</v>
      </c>
      <c r="Y5" s="4">
        <v>4717</v>
      </c>
      <c r="Z5" s="3">
        <v>448.11500000000001</v>
      </c>
    </row>
    <row r="6" spans="1:26" hidden="1" x14ac:dyDescent="0.35">
      <c r="A6">
        <v>1005</v>
      </c>
      <c r="B6" s="2">
        <v>41643</v>
      </c>
      <c r="C6">
        <v>4</v>
      </c>
      <c r="D6" t="s">
        <v>40</v>
      </c>
      <c r="E6" t="s">
        <v>41</v>
      </c>
      <c r="F6" t="s">
        <v>42</v>
      </c>
      <c r="G6" t="s">
        <v>43</v>
      </c>
      <c r="H6">
        <v>99999</v>
      </c>
      <c r="I6" t="s">
        <v>30</v>
      </c>
      <c r="J6" t="s">
        <v>44</v>
      </c>
      <c r="K6" t="s">
        <v>45</v>
      </c>
      <c r="L6" s="2">
        <v>41645</v>
      </c>
      <c r="M6" t="s">
        <v>46</v>
      </c>
      <c r="N6" t="s">
        <v>47</v>
      </c>
      <c r="O6" t="s">
        <v>41</v>
      </c>
      <c r="P6" t="s">
        <v>42</v>
      </c>
      <c r="Q6" t="s">
        <v>43</v>
      </c>
      <c r="R6">
        <v>99999</v>
      </c>
      <c r="S6" t="s">
        <v>30</v>
      </c>
      <c r="T6" t="s">
        <v>48</v>
      </c>
      <c r="U6" t="s">
        <v>38</v>
      </c>
      <c r="V6" t="s">
        <v>39</v>
      </c>
      <c r="W6" s="3">
        <v>3.5</v>
      </c>
      <c r="X6">
        <v>11</v>
      </c>
      <c r="Y6" s="4">
        <v>38.5</v>
      </c>
      <c r="Z6" s="3">
        <v>3.7345000000000002</v>
      </c>
    </row>
    <row r="7" spans="1:26" hidden="1" x14ac:dyDescent="0.35">
      <c r="A7">
        <v>1006</v>
      </c>
      <c r="B7" s="2">
        <v>41651</v>
      </c>
      <c r="C7">
        <v>12</v>
      </c>
      <c r="D7" t="s">
        <v>51</v>
      </c>
      <c r="E7" t="s">
        <v>52</v>
      </c>
      <c r="F7" t="s">
        <v>28</v>
      </c>
      <c r="G7" t="s">
        <v>29</v>
      </c>
      <c r="H7">
        <v>99999</v>
      </c>
      <c r="I7" t="s">
        <v>30</v>
      </c>
      <c r="J7" t="s">
        <v>31</v>
      </c>
      <c r="K7" t="s">
        <v>32</v>
      </c>
      <c r="L7" s="2">
        <v>41653</v>
      </c>
      <c r="M7" t="s">
        <v>33</v>
      </c>
      <c r="N7" t="s">
        <v>53</v>
      </c>
      <c r="O7" t="s">
        <v>52</v>
      </c>
      <c r="P7" t="s">
        <v>28</v>
      </c>
      <c r="Q7" t="s">
        <v>29</v>
      </c>
      <c r="R7">
        <v>99999</v>
      </c>
      <c r="S7" t="s">
        <v>30</v>
      </c>
      <c r="T7" t="s">
        <v>48</v>
      </c>
      <c r="U7" t="s">
        <v>54</v>
      </c>
      <c r="V7" t="s">
        <v>37</v>
      </c>
      <c r="W7" s="3">
        <v>18</v>
      </c>
      <c r="X7">
        <v>81</v>
      </c>
      <c r="Y7" s="4">
        <v>1458</v>
      </c>
      <c r="Z7" s="3">
        <v>141.42600000000002</v>
      </c>
    </row>
    <row r="8" spans="1:26" hidden="1" x14ac:dyDescent="0.35">
      <c r="A8">
        <v>1007</v>
      </c>
      <c r="B8" s="2">
        <v>41651</v>
      </c>
      <c r="C8">
        <v>12</v>
      </c>
      <c r="D8" t="s">
        <v>51</v>
      </c>
      <c r="E8" t="s">
        <v>52</v>
      </c>
      <c r="F8" t="s">
        <v>28</v>
      </c>
      <c r="G8" t="s">
        <v>29</v>
      </c>
      <c r="H8">
        <v>99999</v>
      </c>
      <c r="I8" t="s">
        <v>30</v>
      </c>
      <c r="J8" t="s">
        <v>31</v>
      </c>
      <c r="K8" t="s">
        <v>32</v>
      </c>
      <c r="L8" s="2">
        <v>41653</v>
      </c>
      <c r="M8" t="s">
        <v>33</v>
      </c>
      <c r="N8" t="s">
        <v>53</v>
      </c>
      <c r="O8" t="s">
        <v>52</v>
      </c>
      <c r="P8" t="s">
        <v>28</v>
      </c>
      <c r="Q8" t="s">
        <v>29</v>
      </c>
      <c r="R8">
        <v>99999</v>
      </c>
      <c r="S8" t="s">
        <v>30</v>
      </c>
      <c r="T8" t="s">
        <v>48</v>
      </c>
      <c r="U8" t="s">
        <v>55</v>
      </c>
      <c r="V8" t="s">
        <v>37</v>
      </c>
      <c r="W8" s="3">
        <v>46</v>
      </c>
      <c r="X8">
        <v>44</v>
      </c>
      <c r="Y8" s="4">
        <v>2024</v>
      </c>
      <c r="Z8" s="3">
        <v>198.352</v>
      </c>
    </row>
    <row r="9" spans="1:26" hidden="1" x14ac:dyDescent="0.35">
      <c r="A9">
        <v>1008</v>
      </c>
      <c r="B9" s="2">
        <v>41647</v>
      </c>
      <c r="C9">
        <v>8</v>
      </c>
      <c r="D9" t="s">
        <v>56</v>
      </c>
      <c r="E9" t="s">
        <v>57</v>
      </c>
      <c r="F9" t="s">
        <v>58</v>
      </c>
      <c r="G9" t="s">
        <v>59</v>
      </c>
      <c r="H9">
        <v>99999</v>
      </c>
      <c r="I9" t="s">
        <v>30</v>
      </c>
      <c r="J9" t="s">
        <v>60</v>
      </c>
      <c r="K9" t="s">
        <v>61</v>
      </c>
      <c r="L9" s="2">
        <v>41649</v>
      </c>
      <c r="M9" t="s">
        <v>62</v>
      </c>
      <c r="N9" t="s">
        <v>63</v>
      </c>
      <c r="O9" t="s">
        <v>57</v>
      </c>
      <c r="P9" t="s">
        <v>58</v>
      </c>
      <c r="Q9" t="s">
        <v>59</v>
      </c>
      <c r="R9">
        <v>99999</v>
      </c>
      <c r="S9" t="s">
        <v>30</v>
      </c>
      <c r="T9" t="s">
        <v>48</v>
      </c>
      <c r="U9" t="s">
        <v>64</v>
      </c>
      <c r="V9" t="s">
        <v>65</v>
      </c>
      <c r="W9" s="3">
        <v>9.1999999999999993</v>
      </c>
      <c r="X9">
        <v>38</v>
      </c>
      <c r="Y9" s="4">
        <v>349.59999999999997</v>
      </c>
      <c r="Z9" s="3">
        <v>36.008800000000001</v>
      </c>
    </row>
    <row r="10" spans="1:26" hidden="1" x14ac:dyDescent="0.35">
      <c r="A10">
        <v>1009</v>
      </c>
      <c r="B10" s="2">
        <v>41643</v>
      </c>
      <c r="C10">
        <v>4</v>
      </c>
      <c r="D10" t="s">
        <v>40</v>
      </c>
      <c r="E10" t="s">
        <v>41</v>
      </c>
      <c r="F10" t="s">
        <v>42</v>
      </c>
      <c r="G10" t="s">
        <v>43</v>
      </c>
      <c r="H10">
        <v>99999</v>
      </c>
      <c r="I10" t="s">
        <v>30</v>
      </c>
      <c r="J10" t="s">
        <v>44</v>
      </c>
      <c r="K10" t="s">
        <v>45</v>
      </c>
      <c r="L10" s="2">
        <v>41645</v>
      </c>
      <c r="M10" t="s">
        <v>62</v>
      </c>
      <c r="N10" t="s">
        <v>47</v>
      </c>
      <c r="O10" t="s">
        <v>41</v>
      </c>
      <c r="P10" t="s">
        <v>42</v>
      </c>
      <c r="Q10" t="s">
        <v>43</v>
      </c>
      <c r="R10">
        <v>99999</v>
      </c>
      <c r="S10" t="s">
        <v>30</v>
      </c>
      <c r="T10" t="s">
        <v>35</v>
      </c>
      <c r="U10" t="s">
        <v>64</v>
      </c>
      <c r="V10" t="s">
        <v>65</v>
      </c>
      <c r="W10" s="3">
        <v>9.1999999999999993</v>
      </c>
      <c r="X10">
        <v>88</v>
      </c>
      <c r="Y10" s="4">
        <v>809.59999999999991</v>
      </c>
      <c r="Z10" s="3">
        <v>79.340799999999987</v>
      </c>
    </row>
    <row r="11" spans="1:26" hidden="1" x14ac:dyDescent="0.35">
      <c r="A11">
        <v>1010</v>
      </c>
      <c r="B11" s="2">
        <v>41668</v>
      </c>
      <c r="C11">
        <v>29</v>
      </c>
      <c r="D11" t="s">
        <v>66</v>
      </c>
      <c r="E11" t="s">
        <v>67</v>
      </c>
      <c r="F11" t="s">
        <v>68</v>
      </c>
      <c r="G11" t="s">
        <v>69</v>
      </c>
      <c r="H11">
        <v>99999</v>
      </c>
      <c r="I11" t="s">
        <v>30</v>
      </c>
      <c r="J11" t="s">
        <v>70</v>
      </c>
      <c r="K11" t="s">
        <v>32</v>
      </c>
      <c r="L11" s="2">
        <v>41670</v>
      </c>
      <c r="M11" t="s">
        <v>33</v>
      </c>
      <c r="N11" t="s">
        <v>71</v>
      </c>
      <c r="O11" t="s">
        <v>67</v>
      </c>
      <c r="P11" t="s">
        <v>68</v>
      </c>
      <c r="Q11" t="s">
        <v>69</v>
      </c>
      <c r="R11">
        <v>99999</v>
      </c>
      <c r="S11" t="s">
        <v>30</v>
      </c>
      <c r="T11" t="s">
        <v>35</v>
      </c>
      <c r="U11" t="s">
        <v>72</v>
      </c>
      <c r="V11" t="s">
        <v>73</v>
      </c>
      <c r="W11" s="3">
        <v>12.75</v>
      </c>
      <c r="X11">
        <v>94</v>
      </c>
      <c r="Y11" s="4">
        <v>1198.5</v>
      </c>
      <c r="Z11" s="3">
        <v>122.24700000000001</v>
      </c>
    </row>
    <row r="12" spans="1:26" hidden="1" x14ac:dyDescent="0.35">
      <c r="A12">
        <v>1011</v>
      </c>
      <c r="B12" s="2">
        <v>41642</v>
      </c>
      <c r="C12">
        <v>3</v>
      </c>
      <c r="D12" t="s">
        <v>74</v>
      </c>
      <c r="E12" t="s">
        <v>75</v>
      </c>
      <c r="F12" t="s">
        <v>76</v>
      </c>
      <c r="G12" t="s">
        <v>77</v>
      </c>
      <c r="H12">
        <v>99999</v>
      </c>
      <c r="I12" t="s">
        <v>30</v>
      </c>
      <c r="J12" t="s">
        <v>31</v>
      </c>
      <c r="K12" t="s">
        <v>32</v>
      </c>
      <c r="L12" s="2">
        <v>41644</v>
      </c>
      <c r="M12" t="s">
        <v>33</v>
      </c>
      <c r="N12" t="s">
        <v>78</v>
      </c>
      <c r="O12" t="s">
        <v>75</v>
      </c>
      <c r="P12" t="s">
        <v>76</v>
      </c>
      <c r="Q12" t="s">
        <v>77</v>
      </c>
      <c r="R12">
        <v>99999</v>
      </c>
      <c r="S12" t="s">
        <v>30</v>
      </c>
      <c r="T12" t="s">
        <v>79</v>
      </c>
      <c r="U12" t="s">
        <v>80</v>
      </c>
      <c r="V12" t="s">
        <v>81</v>
      </c>
      <c r="W12" s="3">
        <v>9.65</v>
      </c>
      <c r="X12">
        <v>91</v>
      </c>
      <c r="Y12" s="4">
        <v>878.15</v>
      </c>
      <c r="Z12" s="3">
        <v>92.205749999999995</v>
      </c>
    </row>
    <row r="13" spans="1:26" hidden="1" x14ac:dyDescent="0.35">
      <c r="A13">
        <v>1012</v>
      </c>
      <c r="B13" s="2">
        <v>41645</v>
      </c>
      <c r="C13">
        <v>6</v>
      </c>
      <c r="D13" t="s">
        <v>82</v>
      </c>
      <c r="E13" t="s">
        <v>83</v>
      </c>
      <c r="F13" t="s">
        <v>84</v>
      </c>
      <c r="G13" t="s">
        <v>85</v>
      </c>
      <c r="H13">
        <v>99999</v>
      </c>
      <c r="I13" t="s">
        <v>30</v>
      </c>
      <c r="J13" t="s">
        <v>86</v>
      </c>
      <c r="K13" t="s">
        <v>61</v>
      </c>
      <c r="L13" s="2">
        <v>41647</v>
      </c>
      <c r="M13" t="s">
        <v>33</v>
      </c>
      <c r="N13" t="s">
        <v>87</v>
      </c>
      <c r="O13" t="s">
        <v>83</v>
      </c>
      <c r="P13" t="s">
        <v>84</v>
      </c>
      <c r="Q13" t="s">
        <v>85</v>
      </c>
      <c r="R13">
        <v>99999</v>
      </c>
      <c r="S13" t="s">
        <v>30</v>
      </c>
      <c r="T13" t="s">
        <v>48</v>
      </c>
      <c r="U13" t="s">
        <v>88</v>
      </c>
      <c r="V13" t="s">
        <v>89</v>
      </c>
      <c r="W13" s="3">
        <v>40</v>
      </c>
      <c r="X13">
        <v>32</v>
      </c>
      <c r="Y13" s="4">
        <v>1280</v>
      </c>
      <c r="Z13" s="3">
        <v>133.12</v>
      </c>
    </row>
    <row r="14" spans="1:26" hidden="1" x14ac:dyDescent="0.35">
      <c r="A14">
        <v>1013</v>
      </c>
      <c r="B14" s="2">
        <v>41667</v>
      </c>
      <c r="C14">
        <v>28</v>
      </c>
      <c r="D14" t="s">
        <v>90</v>
      </c>
      <c r="E14" t="s">
        <v>91</v>
      </c>
      <c r="F14" t="s">
        <v>92</v>
      </c>
      <c r="G14" t="s">
        <v>93</v>
      </c>
      <c r="H14">
        <v>99999</v>
      </c>
      <c r="I14" t="s">
        <v>30</v>
      </c>
      <c r="J14" t="s">
        <v>94</v>
      </c>
      <c r="K14" t="s">
        <v>95</v>
      </c>
      <c r="L14" s="2">
        <v>41669</v>
      </c>
      <c r="M14" t="s">
        <v>62</v>
      </c>
      <c r="N14" t="s">
        <v>96</v>
      </c>
      <c r="O14" t="s">
        <v>91</v>
      </c>
      <c r="P14" t="s">
        <v>92</v>
      </c>
      <c r="Q14" t="s">
        <v>93</v>
      </c>
      <c r="R14">
        <v>99999</v>
      </c>
      <c r="S14" t="s">
        <v>30</v>
      </c>
      <c r="T14" t="s">
        <v>35</v>
      </c>
      <c r="U14" t="s">
        <v>55</v>
      </c>
      <c r="V14" t="s">
        <v>37</v>
      </c>
      <c r="W14" s="3">
        <v>46</v>
      </c>
      <c r="X14">
        <v>55</v>
      </c>
      <c r="Y14" s="4">
        <v>2530</v>
      </c>
      <c r="Z14" s="3">
        <v>253</v>
      </c>
    </row>
    <row r="15" spans="1:26" hidden="1" x14ac:dyDescent="0.35">
      <c r="A15">
        <v>1014</v>
      </c>
      <c r="B15" s="2">
        <v>41647</v>
      </c>
      <c r="C15">
        <v>8</v>
      </c>
      <c r="D15" t="s">
        <v>56</v>
      </c>
      <c r="E15" t="s">
        <v>57</v>
      </c>
      <c r="F15" t="s">
        <v>58</v>
      </c>
      <c r="G15" t="s">
        <v>59</v>
      </c>
      <c r="H15">
        <v>99999</v>
      </c>
      <c r="I15" t="s">
        <v>30</v>
      </c>
      <c r="J15" t="s">
        <v>60</v>
      </c>
      <c r="K15" t="s">
        <v>61</v>
      </c>
      <c r="L15" s="2">
        <v>41649</v>
      </c>
      <c r="M15" t="s">
        <v>62</v>
      </c>
      <c r="N15" t="s">
        <v>63</v>
      </c>
      <c r="O15" t="s">
        <v>57</v>
      </c>
      <c r="P15" t="s">
        <v>58</v>
      </c>
      <c r="Q15" t="s">
        <v>59</v>
      </c>
      <c r="R15">
        <v>99999</v>
      </c>
      <c r="S15" t="s">
        <v>30</v>
      </c>
      <c r="T15" t="s">
        <v>35</v>
      </c>
      <c r="U15" t="s">
        <v>72</v>
      </c>
      <c r="V15" t="s">
        <v>73</v>
      </c>
      <c r="W15" s="3">
        <v>12.75</v>
      </c>
      <c r="X15">
        <v>47</v>
      </c>
      <c r="Y15" s="4">
        <v>599.25</v>
      </c>
      <c r="Z15" s="3">
        <v>61.722750000000005</v>
      </c>
    </row>
    <row r="16" spans="1:26" hidden="1" x14ac:dyDescent="0.35">
      <c r="A16">
        <v>1015</v>
      </c>
      <c r="B16" s="2">
        <v>41649</v>
      </c>
      <c r="C16">
        <v>10</v>
      </c>
      <c r="D16" t="s">
        <v>97</v>
      </c>
      <c r="E16" t="s">
        <v>98</v>
      </c>
      <c r="F16" t="s">
        <v>99</v>
      </c>
      <c r="G16" t="s">
        <v>100</v>
      </c>
      <c r="H16">
        <v>99999</v>
      </c>
      <c r="I16" t="s">
        <v>30</v>
      </c>
      <c r="J16" t="s">
        <v>101</v>
      </c>
      <c r="K16" t="s">
        <v>45</v>
      </c>
      <c r="L16" s="2">
        <v>41651</v>
      </c>
      <c r="M16" t="s">
        <v>33</v>
      </c>
      <c r="N16" t="s">
        <v>102</v>
      </c>
      <c r="O16" t="s">
        <v>98</v>
      </c>
      <c r="P16" t="s">
        <v>99</v>
      </c>
      <c r="Q16" t="s">
        <v>100</v>
      </c>
      <c r="R16">
        <v>99999</v>
      </c>
      <c r="S16" t="s">
        <v>30</v>
      </c>
      <c r="T16" t="s">
        <v>48</v>
      </c>
      <c r="U16" t="s">
        <v>103</v>
      </c>
      <c r="V16" t="s">
        <v>37</v>
      </c>
      <c r="W16" s="3">
        <v>2.99</v>
      </c>
      <c r="X16">
        <v>90</v>
      </c>
      <c r="Y16" s="4">
        <v>269.10000000000002</v>
      </c>
      <c r="Z16" s="3">
        <v>27.717300000000005</v>
      </c>
    </row>
    <row r="17" spans="1:26" hidden="1" x14ac:dyDescent="0.35">
      <c r="A17">
        <v>1016</v>
      </c>
      <c r="B17" s="2">
        <v>41646</v>
      </c>
      <c r="C17">
        <v>7</v>
      </c>
      <c r="D17" t="s">
        <v>104</v>
      </c>
      <c r="E17" t="s">
        <v>105</v>
      </c>
      <c r="F17" t="s">
        <v>106</v>
      </c>
      <c r="G17" t="s">
        <v>107</v>
      </c>
      <c r="H17">
        <v>99999</v>
      </c>
      <c r="I17" t="s">
        <v>30</v>
      </c>
      <c r="J17" t="s">
        <v>60</v>
      </c>
      <c r="K17" t="s">
        <v>61</v>
      </c>
      <c r="N17" t="s">
        <v>108</v>
      </c>
      <c r="O17" t="s">
        <v>105</v>
      </c>
      <c r="P17" t="s">
        <v>106</v>
      </c>
      <c r="Q17" t="s">
        <v>107</v>
      </c>
      <c r="R17">
        <v>99999</v>
      </c>
      <c r="S17" t="s">
        <v>30</v>
      </c>
      <c r="U17" t="s">
        <v>55</v>
      </c>
      <c r="V17" t="s">
        <v>37</v>
      </c>
      <c r="W17" s="3">
        <v>46</v>
      </c>
      <c r="X17">
        <v>24</v>
      </c>
      <c r="Y17" s="4">
        <v>1104</v>
      </c>
      <c r="Z17" s="3">
        <v>110.4</v>
      </c>
    </row>
    <row r="18" spans="1:26" hidden="1" x14ac:dyDescent="0.35">
      <c r="A18">
        <v>1017</v>
      </c>
      <c r="B18" s="2">
        <v>41649</v>
      </c>
      <c r="C18">
        <v>10</v>
      </c>
      <c r="D18" t="s">
        <v>97</v>
      </c>
      <c r="E18" t="s">
        <v>98</v>
      </c>
      <c r="F18" t="s">
        <v>99</v>
      </c>
      <c r="G18" t="s">
        <v>100</v>
      </c>
      <c r="H18">
        <v>99999</v>
      </c>
      <c r="I18" t="s">
        <v>30</v>
      </c>
      <c r="J18" t="s">
        <v>101</v>
      </c>
      <c r="K18" t="s">
        <v>45</v>
      </c>
      <c r="L18" s="2">
        <v>41651</v>
      </c>
      <c r="M18" t="s">
        <v>46</v>
      </c>
      <c r="N18" t="s">
        <v>102</v>
      </c>
      <c r="O18" t="s">
        <v>98</v>
      </c>
      <c r="P18" t="s">
        <v>99</v>
      </c>
      <c r="Q18" t="s">
        <v>100</v>
      </c>
      <c r="R18">
        <v>99999</v>
      </c>
      <c r="S18" t="s">
        <v>30</v>
      </c>
      <c r="U18" t="s">
        <v>109</v>
      </c>
      <c r="V18" t="s">
        <v>110</v>
      </c>
      <c r="W18" s="3">
        <v>25</v>
      </c>
      <c r="X18">
        <v>34</v>
      </c>
      <c r="Y18" s="4">
        <v>850</v>
      </c>
      <c r="Z18" s="3">
        <v>80.75</v>
      </c>
    </row>
    <row r="19" spans="1:26" hidden="1" x14ac:dyDescent="0.35">
      <c r="A19">
        <v>1018</v>
      </c>
      <c r="B19" s="2">
        <v>41649</v>
      </c>
      <c r="C19">
        <v>10</v>
      </c>
      <c r="D19" t="s">
        <v>97</v>
      </c>
      <c r="E19" t="s">
        <v>98</v>
      </c>
      <c r="F19" t="s">
        <v>99</v>
      </c>
      <c r="G19" t="s">
        <v>100</v>
      </c>
      <c r="H19">
        <v>99999</v>
      </c>
      <c r="I19" t="s">
        <v>30</v>
      </c>
      <c r="J19" t="s">
        <v>101</v>
      </c>
      <c r="K19" t="s">
        <v>45</v>
      </c>
      <c r="L19" s="2">
        <v>41651</v>
      </c>
      <c r="M19" t="s">
        <v>46</v>
      </c>
      <c r="N19" t="s">
        <v>102</v>
      </c>
      <c r="O19" t="s">
        <v>98</v>
      </c>
      <c r="P19" t="s">
        <v>99</v>
      </c>
      <c r="Q19" t="s">
        <v>100</v>
      </c>
      <c r="R19">
        <v>99999</v>
      </c>
      <c r="S19" t="s">
        <v>30</v>
      </c>
      <c r="U19" t="s">
        <v>111</v>
      </c>
      <c r="V19" t="s">
        <v>112</v>
      </c>
      <c r="W19" s="3">
        <v>22</v>
      </c>
      <c r="X19">
        <v>17</v>
      </c>
      <c r="Y19" s="4">
        <v>374</v>
      </c>
      <c r="Z19" s="3">
        <v>35.903999999999996</v>
      </c>
    </row>
    <row r="20" spans="1:26" hidden="1" x14ac:dyDescent="0.35">
      <c r="A20">
        <v>1019</v>
      </c>
      <c r="B20" s="2">
        <v>41649</v>
      </c>
      <c r="C20">
        <v>10</v>
      </c>
      <c r="D20" t="s">
        <v>97</v>
      </c>
      <c r="E20" t="s">
        <v>98</v>
      </c>
      <c r="F20" t="s">
        <v>99</v>
      </c>
      <c r="G20" t="s">
        <v>100</v>
      </c>
      <c r="H20">
        <v>99999</v>
      </c>
      <c r="I20" t="s">
        <v>30</v>
      </c>
      <c r="J20" t="s">
        <v>101</v>
      </c>
      <c r="K20" t="s">
        <v>45</v>
      </c>
      <c r="L20" s="2">
        <v>41651</v>
      </c>
      <c r="M20" t="s">
        <v>46</v>
      </c>
      <c r="N20" t="s">
        <v>102</v>
      </c>
      <c r="O20" t="s">
        <v>98</v>
      </c>
      <c r="P20" t="s">
        <v>99</v>
      </c>
      <c r="Q20" t="s">
        <v>100</v>
      </c>
      <c r="R20">
        <v>99999</v>
      </c>
      <c r="S20" t="s">
        <v>30</v>
      </c>
      <c r="U20" t="s">
        <v>64</v>
      </c>
      <c r="V20" t="s">
        <v>65</v>
      </c>
      <c r="W20" s="3">
        <v>9.1999999999999993</v>
      </c>
      <c r="X20">
        <v>44</v>
      </c>
      <c r="Y20" s="4">
        <v>404.79999999999995</v>
      </c>
      <c r="Z20" s="3">
        <v>42.099199999999996</v>
      </c>
    </row>
    <row r="21" spans="1:26" hidden="1" x14ac:dyDescent="0.35">
      <c r="A21">
        <v>1020</v>
      </c>
      <c r="B21" s="2">
        <v>41650</v>
      </c>
      <c r="C21">
        <v>11</v>
      </c>
      <c r="D21" t="s">
        <v>113</v>
      </c>
      <c r="E21" t="s">
        <v>114</v>
      </c>
      <c r="F21" t="s">
        <v>115</v>
      </c>
      <c r="G21" t="s">
        <v>116</v>
      </c>
      <c r="H21">
        <v>99999</v>
      </c>
      <c r="I21" t="s">
        <v>30</v>
      </c>
      <c r="J21" t="s">
        <v>94</v>
      </c>
      <c r="K21" t="s">
        <v>95</v>
      </c>
      <c r="M21" t="s">
        <v>62</v>
      </c>
      <c r="N21" t="s">
        <v>117</v>
      </c>
      <c r="O21" t="s">
        <v>114</v>
      </c>
      <c r="P21" t="s">
        <v>115</v>
      </c>
      <c r="Q21" t="s">
        <v>116</v>
      </c>
      <c r="R21">
        <v>99999</v>
      </c>
      <c r="S21" t="s">
        <v>30</v>
      </c>
      <c r="U21" t="s">
        <v>38</v>
      </c>
      <c r="V21" t="s">
        <v>39</v>
      </c>
      <c r="W21" s="3">
        <v>3.5</v>
      </c>
      <c r="X21">
        <v>81</v>
      </c>
      <c r="Y21" s="4">
        <v>283.5</v>
      </c>
      <c r="Z21" s="3">
        <v>27.499500000000001</v>
      </c>
    </row>
    <row r="22" spans="1:26" hidden="1" x14ac:dyDescent="0.35">
      <c r="A22">
        <v>1021</v>
      </c>
      <c r="B22" s="2">
        <v>41650</v>
      </c>
      <c r="C22">
        <v>11</v>
      </c>
      <c r="D22" t="s">
        <v>113</v>
      </c>
      <c r="E22" t="s">
        <v>114</v>
      </c>
      <c r="F22" t="s">
        <v>115</v>
      </c>
      <c r="G22" t="s">
        <v>116</v>
      </c>
      <c r="H22">
        <v>99999</v>
      </c>
      <c r="I22" t="s">
        <v>30</v>
      </c>
      <c r="J22" t="s">
        <v>94</v>
      </c>
      <c r="K22" t="s">
        <v>95</v>
      </c>
      <c r="M22" t="s">
        <v>62</v>
      </c>
      <c r="N22" t="s">
        <v>117</v>
      </c>
      <c r="O22" t="s">
        <v>114</v>
      </c>
      <c r="P22" t="s">
        <v>115</v>
      </c>
      <c r="Q22" t="s">
        <v>116</v>
      </c>
      <c r="R22">
        <v>99999</v>
      </c>
      <c r="S22" t="s">
        <v>30</v>
      </c>
      <c r="U22" t="s">
        <v>103</v>
      </c>
      <c r="V22" t="s">
        <v>37</v>
      </c>
      <c r="W22" s="3">
        <v>2.99</v>
      </c>
      <c r="X22">
        <v>49</v>
      </c>
      <c r="Y22" s="4">
        <v>146.51000000000002</v>
      </c>
      <c r="Z22" s="3">
        <v>15.090530000000005</v>
      </c>
    </row>
    <row r="23" spans="1:26" hidden="1" x14ac:dyDescent="0.35">
      <c r="A23">
        <v>1022</v>
      </c>
      <c r="B23" s="2">
        <v>41640</v>
      </c>
      <c r="C23">
        <v>1</v>
      </c>
      <c r="D23" t="s">
        <v>118</v>
      </c>
      <c r="E23" t="s">
        <v>119</v>
      </c>
      <c r="F23" t="s">
        <v>120</v>
      </c>
      <c r="G23" t="s">
        <v>121</v>
      </c>
      <c r="H23">
        <v>99999</v>
      </c>
      <c r="I23" t="s">
        <v>30</v>
      </c>
      <c r="J23" t="s">
        <v>60</v>
      </c>
      <c r="K23" t="s">
        <v>61</v>
      </c>
      <c r="N23" t="s">
        <v>122</v>
      </c>
      <c r="O23" t="s">
        <v>119</v>
      </c>
      <c r="P23" t="s">
        <v>120</v>
      </c>
      <c r="Q23" t="s">
        <v>121</v>
      </c>
      <c r="R23">
        <v>99999</v>
      </c>
      <c r="S23" t="s">
        <v>30</v>
      </c>
      <c r="U23" t="s">
        <v>54</v>
      </c>
      <c r="V23" t="s">
        <v>37</v>
      </c>
      <c r="W23" s="3">
        <v>18</v>
      </c>
      <c r="X23">
        <v>42</v>
      </c>
      <c r="Y23" s="4">
        <v>756</v>
      </c>
      <c r="Z23" s="3">
        <v>75.600000000000009</v>
      </c>
    </row>
    <row r="24" spans="1:26" hidden="1" x14ac:dyDescent="0.35">
      <c r="A24">
        <v>1023</v>
      </c>
      <c r="B24" s="2">
        <v>41640</v>
      </c>
      <c r="C24">
        <v>1</v>
      </c>
      <c r="D24" t="s">
        <v>118</v>
      </c>
      <c r="E24" t="s">
        <v>119</v>
      </c>
      <c r="F24" t="s">
        <v>120</v>
      </c>
      <c r="G24" t="s">
        <v>121</v>
      </c>
      <c r="H24">
        <v>99999</v>
      </c>
      <c r="I24" t="s">
        <v>30</v>
      </c>
      <c r="J24" t="s">
        <v>60</v>
      </c>
      <c r="K24" t="s">
        <v>61</v>
      </c>
      <c r="N24" t="s">
        <v>122</v>
      </c>
      <c r="O24" t="s">
        <v>119</v>
      </c>
      <c r="P24" t="s">
        <v>120</v>
      </c>
      <c r="Q24" t="s">
        <v>121</v>
      </c>
      <c r="R24">
        <v>99999</v>
      </c>
      <c r="S24" t="s">
        <v>30</v>
      </c>
      <c r="U24" t="s">
        <v>55</v>
      </c>
      <c r="V24" t="s">
        <v>37</v>
      </c>
      <c r="W24" s="3">
        <v>46</v>
      </c>
      <c r="X24">
        <v>58</v>
      </c>
      <c r="Y24" s="4">
        <v>2668</v>
      </c>
      <c r="Z24" s="3">
        <v>269.46800000000002</v>
      </c>
    </row>
    <row r="25" spans="1:26" hidden="1" x14ac:dyDescent="0.35">
      <c r="A25">
        <v>1024</v>
      </c>
      <c r="B25" s="2">
        <v>41640</v>
      </c>
      <c r="C25">
        <v>1</v>
      </c>
      <c r="D25" t="s">
        <v>118</v>
      </c>
      <c r="E25" t="s">
        <v>119</v>
      </c>
      <c r="F25" t="s">
        <v>120</v>
      </c>
      <c r="G25" t="s">
        <v>121</v>
      </c>
      <c r="H25">
        <v>99999</v>
      </c>
      <c r="I25" t="s">
        <v>30</v>
      </c>
      <c r="J25" t="s">
        <v>60</v>
      </c>
      <c r="K25" t="s">
        <v>61</v>
      </c>
      <c r="N25" t="s">
        <v>122</v>
      </c>
      <c r="O25" t="s">
        <v>119</v>
      </c>
      <c r="P25" t="s">
        <v>120</v>
      </c>
      <c r="Q25" t="s">
        <v>121</v>
      </c>
      <c r="R25">
        <v>99999</v>
      </c>
      <c r="S25" t="s">
        <v>30</v>
      </c>
      <c r="U25" t="s">
        <v>103</v>
      </c>
      <c r="V25" t="s">
        <v>37</v>
      </c>
      <c r="W25" s="3">
        <v>2.99</v>
      </c>
      <c r="X25">
        <v>67</v>
      </c>
      <c r="Y25" s="4">
        <v>200.33</v>
      </c>
      <c r="Z25" s="3">
        <v>20.033000000000001</v>
      </c>
    </row>
    <row r="26" spans="1:26" hidden="1" x14ac:dyDescent="0.35">
      <c r="A26">
        <v>1025</v>
      </c>
      <c r="B26" s="2">
        <v>41667</v>
      </c>
      <c r="C26">
        <v>28</v>
      </c>
      <c r="D26" t="s">
        <v>90</v>
      </c>
      <c r="E26" t="s">
        <v>91</v>
      </c>
      <c r="F26" t="s">
        <v>92</v>
      </c>
      <c r="G26" t="s">
        <v>93</v>
      </c>
      <c r="H26">
        <v>99999</v>
      </c>
      <c r="I26" t="s">
        <v>30</v>
      </c>
      <c r="J26" t="s">
        <v>94</v>
      </c>
      <c r="K26" t="s">
        <v>95</v>
      </c>
      <c r="L26" s="2">
        <v>41669</v>
      </c>
      <c r="M26" t="s">
        <v>62</v>
      </c>
      <c r="N26" t="s">
        <v>96</v>
      </c>
      <c r="O26" t="s">
        <v>91</v>
      </c>
      <c r="P26" t="s">
        <v>92</v>
      </c>
      <c r="Q26" t="s">
        <v>93</v>
      </c>
      <c r="R26">
        <v>99999</v>
      </c>
      <c r="S26" t="s">
        <v>30</v>
      </c>
      <c r="T26" t="s">
        <v>48</v>
      </c>
      <c r="U26" t="s">
        <v>80</v>
      </c>
      <c r="V26" t="s">
        <v>81</v>
      </c>
      <c r="W26" s="3">
        <v>9.65</v>
      </c>
      <c r="X26">
        <v>100</v>
      </c>
      <c r="Y26" s="4">
        <v>965</v>
      </c>
      <c r="Z26" s="3">
        <v>93.605000000000004</v>
      </c>
    </row>
    <row r="27" spans="1:26" hidden="1" x14ac:dyDescent="0.35">
      <c r="A27">
        <v>1026</v>
      </c>
      <c r="B27" s="2">
        <v>41667</v>
      </c>
      <c r="C27">
        <v>28</v>
      </c>
      <c r="D27" t="s">
        <v>90</v>
      </c>
      <c r="E27" t="s">
        <v>91</v>
      </c>
      <c r="F27" t="s">
        <v>92</v>
      </c>
      <c r="G27" t="s">
        <v>93</v>
      </c>
      <c r="H27">
        <v>99999</v>
      </c>
      <c r="I27" t="s">
        <v>30</v>
      </c>
      <c r="J27" t="s">
        <v>94</v>
      </c>
      <c r="K27" t="s">
        <v>95</v>
      </c>
      <c r="L27" s="2">
        <v>41669</v>
      </c>
      <c r="M27" t="s">
        <v>62</v>
      </c>
      <c r="N27" t="s">
        <v>96</v>
      </c>
      <c r="O27" t="s">
        <v>91</v>
      </c>
      <c r="P27" t="s">
        <v>92</v>
      </c>
      <c r="Q27" t="s">
        <v>93</v>
      </c>
      <c r="R27">
        <v>99999</v>
      </c>
      <c r="S27" t="s">
        <v>30</v>
      </c>
      <c r="T27" t="s">
        <v>48</v>
      </c>
      <c r="U27" t="s">
        <v>123</v>
      </c>
      <c r="V27" t="s">
        <v>124</v>
      </c>
      <c r="W27" s="3">
        <v>18.399999999999999</v>
      </c>
      <c r="X27">
        <v>63</v>
      </c>
      <c r="Y27" s="4">
        <v>1159.1999999999998</v>
      </c>
      <c r="Z27" s="3">
        <v>114.76079999999999</v>
      </c>
    </row>
    <row r="28" spans="1:26" hidden="1" x14ac:dyDescent="0.35">
      <c r="A28">
        <v>1027</v>
      </c>
      <c r="B28" s="2">
        <v>41648</v>
      </c>
      <c r="C28">
        <v>9</v>
      </c>
      <c r="D28" t="s">
        <v>125</v>
      </c>
      <c r="E28" t="s">
        <v>126</v>
      </c>
      <c r="F28" t="s">
        <v>127</v>
      </c>
      <c r="G28" t="s">
        <v>128</v>
      </c>
      <c r="H28">
        <v>99999</v>
      </c>
      <c r="I28" t="s">
        <v>30</v>
      </c>
      <c r="J28" t="s">
        <v>129</v>
      </c>
      <c r="K28" t="s">
        <v>32</v>
      </c>
      <c r="L28" s="2">
        <v>41650</v>
      </c>
      <c r="M28" t="s">
        <v>46</v>
      </c>
      <c r="N28" t="s">
        <v>130</v>
      </c>
      <c r="O28" t="s">
        <v>126</v>
      </c>
      <c r="P28" t="s">
        <v>127</v>
      </c>
      <c r="Q28" t="s">
        <v>128</v>
      </c>
      <c r="R28">
        <v>99999</v>
      </c>
      <c r="S28" t="s">
        <v>30</v>
      </c>
      <c r="T28" t="s">
        <v>35</v>
      </c>
      <c r="U28" t="s">
        <v>131</v>
      </c>
      <c r="V28" t="s">
        <v>132</v>
      </c>
      <c r="W28" s="3">
        <v>19.5</v>
      </c>
      <c r="X28">
        <v>57</v>
      </c>
      <c r="Y28" s="4">
        <v>1111.5</v>
      </c>
      <c r="Z28" s="3">
        <v>110.0385</v>
      </c>
    </row>
    <row r="29" spans="1:26" hidden="1" x14ac:dyDescent="0.35">
      <c r="A29">
        <v>1028</v>
      </c>
      <c r="B29" s="2">
        <v>41648</v>
      </c>
      <c r="C29">
        <v>9</v>
      </c>
      <c r="D29" t="s">
        <v>125</v>
      </c>
      <c r="E29" t="s">
        <v>126</v>
      </c>
      <c r="F29" t="s">
        <v>127</v>
      </c>
      <c r="G29" t="s">
        <v>128</v>
      </c>
      <c r="H29">
        <v>99999</v>
      </c>
      <c r="I29" t="s">
        <v>30</v>
      </c>
      <c r="J29" t="s">
        <v>129</v>
      </c>
      <c r="K29" t="s">
        <v>32</v>
      </c>
      <c r="L29" s="2">
        <v>41650</v>
      </c>
      <c r="M29" t="s">
        <v>46</v>
      </c>
      <c r="N29" t="s">
        <v>130</v>
      </c>
      <c r="O29" t="s">
        <v>126</v>
      </c>
      <c r="P29" t="s">
        <v>127</v>
      </c>
      <c r="Q29" t="s">
        <v>128</v>
      </c>
      <c r="R29">
        <v>99999</v>
      </c>
      <c r="S29" t="s">
        <v>30</v>
      </c>
      <c r="T29" t="s">
        <v>35</v>
      </c>
      <c r="U29" t="s">
        <v>133</v>
      </c>
      <c r="V29" t="s">
        <v>134</v>
      </c>
      <c r="W29" s="3">
        <v>34.799999999999997</v>
      </c>
      <c r="X29">
        <v>81</v>
      </c>
      <c r="Y29" s="4">
        <v>2818.7999999999997</v>
      </c>
      <c r="Z29" s="3">
        <v>295.97399999999999</v>
      </c>
    </row>
    <row r="30" spans="1:26" hidden="1" x14ac:dyDescent="0.35">
      <c r="A30">
        <v>1029</v>
      </c>
      <c r="B30" s="2">
        <v>41645</v>
      </c>
      <c r="C30">
        <v>6</v>
      </c>
      <c r="D30" t="s">
        <v>82</v>
      </c>
      <c r="E30" t="s">
        <v>83</v>
      </c>
      <c r="F30" t="s">
        <v>84</v>
      </c>
      <c r="G30" t="s">
        <v>85</v>
      </c>
      <c r="H30">
        <v>99999</v>
      </c>
      <c r="I30" t="s">
        <v>30</v>
      </c>
      <c r="J30" t="s">
        <v>86</v>
      </c>
      <c r="K30" t="s">
        <v>61</v>
      </c>
      <c r="L30" s="2">
        <v>41647</v>
      </c>
      <c r="M30" t="s">
        <v>33</v>
      </c>
      <c r="N30" t="s">
        <v>87</v>
      </c>
      <c r="O30" t="s">
        <v>83</v>
      </c>
      <c r="P30" t="s">
        <v>84</v>
      </c>
      <c r="Q30" t="s">
        <v>85</v>
      </c>
      <c r="R30">
        <v>99999</v>
      </c>
      <c r="S30" t="s">
        <v>30</v>
      </c>
      <c r="T30" t="s">
        <v>48</v>
      </c>
      <c r="U30" t="s">
        <v>36</v>
      </c>
      <c r="V30" t="s">
        <v>37</v>
      </c>
      <c r="W30" s="3">
        <v>14</v>
      </c>
      <c r="X30">
        <v>71</v>
      </c>
      <c r="Y30" s="4">
        <v>994</v>
      </c>
      <c r="Z30" s="3">
        <v>95.424000000000007</v>
      </c>
    </row>
    <row r="31" spans="1:26" hidden="1" x14ac:dyDescent="0.35">
      <c r="A31">
        <v>1030</v>
      </c>
      <c r="B31" s="2">
        <v>41678</v>
      </c>
      <c r="C31">
        <v>8</v>
      </c>
      <c r="D31" t="s">
        <v>56</v>
      </c>
      <c r="E31" t="s">
        <v>57</v>
      </c>
      <c r="F31" t="s">
        <v>58</v>
      </c>
      <c r="G31" t="s">
        <v>59</v>
      </c>
      <c r="H31">
        <v>99999</v>
      </c>
      <c r="I31" t="s">
        <v>30</v>
      </c>
      <c r="J31" t="s">
        <v>60</v>
      </c>
      <c r="K31" t="s">
        <v>61</v>
      </c>
      <c r="L31" s="2">
        <v>41680</v>
      </c>
      <c r="M31" t="s">
        <v>33</v>
      </c>
      <c r="N31" t="s">
        <v>63</v>
      </c>
      <c r="O31" t="s">
        <v>57</v>
      </c>
      <c r="P31" t="s">
        <v>58</v>
      </c>
      <c r="Q31" t="s">
        <v>59</v>
      </c>
      <c r="R31">
        <v>99999</v>
      </c>
      <c r="S31" t="s">
        <v>30</v>
      </c>
      <c r="T31" t="s">
        <v>35</v>
      </c>
      <c r="U31" t="s">
        <v>88</v>
      </c>
      <c r="V31" t="s">
        <v>89</v>
      </c>
      <c r="W31" s="3">
        <v>40</v>
      </c>
      <c r="X31">
        <v>32</v>
      </c>
      <c r="Y31" s="4">
        <v>1280</v>
      </c>
      <c r="Z31" s="3">
        <v>129.28</v>
      </c>
    </row>
    <row r="32" spans="1:26" hidden="1" x14ac:dyDescent="0.35">
      <c r="A32">
        <v>1031</v>
      </c>
      <c r="B32" s="2">
        <v>41673</v>
      </c>
      <c r="C32">
        <v>3</v>
      </c>
      <c r="D32" t="s">
        <v>74</v>
      </c>
      <c r="E32" t="s">
        <v>75</v>
      </c>
      <c r="F32" t="s">
        <v>76</v>
      </c>
      <c r="G32" t="s">
        <v>77</v>
      </c>
      <c r="H32">
        <v>99999</v>
      </c>
      <c r="I32" t="s">
        <v>30</v>
      </c>
      <c r="J32" t="s">
        <v>31</v>
      </c>
      <c r="K32" t="s">
        <v>32</v>
      </c>
      <c r="L32" s="2">
        <v>41675</v>
      </c>
      <c r="M32" t="s">
        <v>33</v>
      </c>
      <c r="N32" t="s">
        <v>78</v>
      </c>
      <c r="O32" t="s">
        <v>75</v>
      </c>
      <c r="P32" t="s">
        <v>76</v>
      </c>
      <c r="Q32" t="s">
        <v>77</v>
      </c>
      <c r="R32">
        <v>99999</v>
      </c>
      <c r="S32" t="s">
        <v>30</v>
      </c>
      <c r="T32" t="s">
        <v>79</v>
      </c>
      <c r="U32" t="s">
        <v>135</v>
      </c>
      <c r="V32" t="s">
        <v>112</v>
      </c>
      <c r="W32">
        <v>10</v>
      </c>
      <c r="X32">
        <v>63</v>
      </c>
      <c r="Y32" s="4">
        <v>630</v>
      </c>
      <c r="Z32" s="3">
        <v>65.52</v>
      </c>
    </row>
    <row r="33" spans="1:26" hidden="1" x14ac:dyDescent="0.35">
      <c r="A33">
        <v>1032</v>
      </c>
      <c r="B33" s="2">
        <v>41673</v>
      </c>
      <c r="C33">
        <v>3</v>
      </c>
      <c r="D33" t="s">
        <v>74</v>
      </c>
      <c r="E33" t="s">
        <v>75</v>
      </c>
      <c r="F33" t="s">
        <v>76</v>
      </c>
      <c r="G33" t="s">
        <v>77</v>
      </c>
      <c r="H33">
        <v>99999</v>
      </c>
      <c r="I33" t="s">
        <v>30</v>
      </c>
      <c r="J33" t="s">
        <v>31</v>
      </c>
      <c r="K33" t="s">
        <v>32</v>
      </c>
      <c r="L33" s="2">
        <v>41675</v>
      </c>
      <c r="M33" t="s">
        <v>33</v>
      </c>
      <c r="N33" t="s">
        <v>78</v>
      </c>
      <c r="O33" t="s">
        <v>75</v>
      </c>
      <c r="P33" t="s">
        <v>76</v>
      </c>
      <c r="Q33" t="s">
        <v>77</v>
      </c>
      <c r="R33">
        <v>99999</v>
      </c>
      <c r="S33" t="s">
        <v>30</v>
      </c>
      <c r="T33" t="s">
        <v>79</v>
      </c>
      <c r="U33" t="s">
        <v>88</v>
      </c>
      <c r="V33" t="s">
        <v>89</v>
      </c>
      <c r="W33">
        <v>40</v>
      </c>
      <c r="X33">
        <v>30</v>
      </c>
      <c r="Y33" s="4">
        <v>1200</v>
      </c>
      <c r="Z33" s="3">
        <v>120</v>
      </c>
    </row>
    <row r="34" spans="1:26" x14ac:dyDescent="0.35">
      <c r="A34">
        <v>1033</v>
      </c>
      <c r="B34" s="2">
        <v>41676</v>
      </c>
      <c r="C34">
        <v>6</v>
      </c>
      <c r="D34" t="s">
        <v>82</v>
      </c>
      <c r="E34" t="s">
        <v>83</v>
      </c>
      <c r="F34" t="s">
        <v>84</v>
      </c>
      <c r="G34" t="s">
        <v>85</v>
      </c>
      <c r="H34">
        <v>99999</v>
      </c>
      <c r="I34" t="s">
        <v>30</v>
      </c>
      <c r="J34" t="s">
        <v>86</v>
      </c>
      <c r="K34" t="s">
        <v>61</v>
      </c>
      <c r="L34" s="2">
        <v>41678</v>
      </c>
      <c r="M34" t="s">
        <v>33</v>
      </c>
      <c r="N34" t="s">
        <v>87</v>
      </c>
      <c r="O34" t="s">
        <v>83</v>
      </c>
      <c r="P34" t="s">
        <v>84</v>
      </c>
      <c r="Q34" t="s">
        <v>85</v>
      </c>
      <c r="R34">
        <v>99999</v>
      </c>
      <c r="S34" t="s">
        <v>30</v>
      </c>
      <c r="T34" t="s">
        <v>48</v>
      </c>
      <c r="V34" t="s">
        <v>181</v>
      </c>
      <c r="Y34" s="4">
        <v>10</v>
      </c>
      <c r="Z34" s="3">
        <v>43</v>
      </c>
    </row>
    <row r="35" spans="1:26" x14ac:dyDescent="0.35">
      <c r="A35">
        <v>1034</v>
      </c>
      <c r="B35" s="2">
        <v>41698</v>
      </c>
      <c r="C35">
        <v>28</v>
      </c>
      <c r="D35" t="s">
        <v>90</v>
      </c>
      <c r="E35" t="s">
        <v>91</v>
      </c>
      <c r="F35" t="s">
        <v>92</v>
      </c>
      <c r="G35" t="s">
        <v>93</v>
      </c>
      <c r="H35">
        <v>99999</v>
      </c>
      <c r="I35" t="s">
        <v>30</v>
      </c>
      <c r="J35" t="s">
        <v>94</v>
      </c>
      <c r="K35" t="s">
        <v>95</v>
      </c>
      <c r="L35" s="2">
        <v>41700</v>
      </c>
      <c r="M35" t="s">
        <v>62</v>
      </c>
      <c r="N35" t="s">
        <v>96</v>
      </c>
      <c r="O35" t="s">
        <v>91</v>
      </c>
      <c r="P35" t="s">
        <v>92</v>
      </c>
      <c r="Q35" t="s">
        <v>93</v>
      </c>
      <c r="R35">
        <v>99999</v>
      </c>
      <c r="S35" t="s">
        <v>30</v>
      </c>
      <c r="T35" t="s">
        <v>35</v>
      </c>
      <c r="V35" t="s">
        <v>181</v>
      </c>
      <c r="Y35" s="4">
        <v>10</v>
      </c>
      <c r="Z35" s="3">
        <v>31</v>
      </c>
    </row>
    <row r="36" spans="1:26" x14ac:dyDescent="0.35">
      <c r="A36">
        <v>1035</v>
      </c>
      <c r="B36" s="2">
        <v>41678</v>
      </c>
      <c r="C36">
        <v>8</v>
      </c>
      <c r="D36" t="s">
        <v>56</v>
      </c>
      <c r="E36" t="s">
        <v>57</v>
      </c>
      <c r="F36" t="s">
        <v>58</v>
      </c>
      <c r="G36" t="s">
        <v>59</v>
      </c>
      <c r="H36">
        <v>99999</v>
      </c>
      <c r="I36" t="s">
        <v>30</v>
      </c>
      <c r="J36" t="s">
        <v>60</v>
      </c>
      <c r="K36" t="s">
        <v>61</v>
      </c>
      <c r="L36" s="2">
        <v>41680</v>
      </c>
      <c r="M36" t="s">
        <v>62</v>
      </c>
      <c r="N36" t="s">
        <v>63</v>
      </c>
      <c r="O36" t="s">
        <v>57</v>
      </c>
      <c r="P36" t="s">
        <v>58</v>
      </c>
      <c r="Q36" t="s">
        <v>59</v>
      </c>
      <c r="R36">
        <v>99999</v>
      </c>
      <c r="S36" t="s">
        <v>30</v>
      </c>
      <c r="T36" t="s">
        <v>35</v>
      </c>
      <c r="V36" t="s">
        <v>181</v>
      </c>
      <c r="Y36" s="4">
        <v>10</v>
      </c>
      <c r="Z36" s="3">
        <v>46</v>
      </c>
    </row>
    <row r="37" spans="1:26" hidden="1" x14ac:dyDescent="0.35">
      <c r="A37">
        <v>1036</v>
      </c>
      <c r="B37" s="2">
        <v>41680</v>
      </c>
      <c r="C37">
        <v>10</v>
      </c>
      <c r="D37" t="s">
        <v>97</v>
      </c>
      <c r="E37" t="s">
        <v>98</v>
      </c>
      <c r="F37" t="s">
        <v>99</v>
      </c>
      <c r="G37" t="s">
        <v>100</v>
      </c>
      <c r="H37">
        <v>99999</v>
      </c>
      <c r="I37" t="s">
        <v>30</v>
      </c>
      <c r="J37" t="s">
        <v>101</v>
      </c>
      <c r="K37" t="s">
        <v>45</v>
      </c>
      <c r="L37" s="2">
        <v>41682</v>
      </c>
      <c r="M37" t="s">
        <v>33</v>
      </c>
      <c r="N37" t="s">
        <v>102</v>
      </c>
      <c r="O37" t="s">
        <v>98</v>
      </c>
      <c r="P37" t="s">
        <v>99</v>
      </c>
      <c r="Q37" t="s">
        <v>100</v>
      </c>
      <c r="R37">
        <v>99999</v>
      </c>
      <c r="S37" t="s">
        <v>30</v>
      </c>
      <c r="T37" t="s">
        <v>48</v>
      </c>
      <c r="U37" t="s">
        <v>136</v>
      </c>
      <c r="V37" t="s">
        <v>39</v>
      </c>
      <c r="W37">
        <v>10</v>
      </c>
      <c r="X37">
        <v>47</v>
      </c>
      <c r="Y37" s="4">
        <v>470</v>
      </c>
      <c r="Z37" s="3">
        <v>48.88</v>
      </c>
    </row>
    <row r="38" spans="1:26" hidden="1" x14ac:dyDescent="0.35">
      <c r="A38">
        <v>1038</v>
      </c>
      <c r="B38" s="2">
        <v>41680</v>
      </c>
      <c r="C38">
        <v>10</v>
      </c>
      <c r="D38" t="s">
        <v>97</v>
      </c>
      <c r="E38" t="s">
        <v>98</v>
      </c>
      <c r="F38" t="s">
        <v>99</v>
      </c>
      <c r="G38" t="s">
        <v>100</v>
      </c>
      <c r="H38">
        <v>99999</v>
      </c>
      <c r="I38" t="s">
        <v>30</v>
      </c>
      <c r="J38" t="s">
        <v>101</v>
      </c>
      <c r="K38" t="s">
        <v>45</v>
      </c>
      <c r="M38" t="s">
        <v>46</v>
      </c>
      <c r="N38" t="s">
        <v>102</v>
      </c>
      <c r="O38" t="s">
        <v>98</v>
      </c>
      <c r="P38" t="s">
        <v>99</v>
      </c>
      <c r="Q38" t="s">
        <v>100</v>
      </c>
      <c r="R38">
        <v>99999</v>
      </c>
      <c r="S38" t="s">
        <v>30</v>
      </c>
      <c r="U38" t="s">
        <v>38</v>
      </c>
      <c r="V38" t="s">
        <v>39</v>
      </c>
      <c r="W38">
        <v>3.5</v>
      </c>
      <c r="X38">
        <v>49</v>
      </c>
      <c r="Y38" s="4">
        <v>171.5</v>
      </c>
      <c r="Z38" s="3">
        <v>16.464000000000002</v>
      </c>
    </row>
    <row r="39" spans="1:26" hidden="1" x14ac:dyDescent="0.35">
      <c r="A39">
        <v>1039</v>
      </c>
      <c r="B39" s="2">
        <v>41681</v>
      </c>
      <c r="C39">
        <v>11</v>
      </c>
      <c r="D39" t="s">
        <v>113</v>
      </c>
      <c r="E39" t="s">
        <v>114</v>
      </c>
      <c r="F39" t="s">
        <v>115</v>
      </c>
      <c r="G39" t="s">
        <v>116</v>
      </c>
      <c r="H39">
        <v>99999</v>
      </c>
      <c r="I39" t="s">
        <v>30</v>
      </c>
      <c r="J39" t="s">
        <v>94</v>
      </c>
      <c r="K39" t="s">
        <v>95</v>
      </c>
      <c r="M39" t="s">
        <v>62</v>
      </c>
      <c r="N39" t="s">
        <v>117</v>
      </c>
      <c r="O39" t="s">
        <v>114</v>
      </c>
      <c r="P39" t="s">
        <v>115</v>
      </c>
      <c r="Q39" t="s">
        <v>116</v>
      </c>
      <c r="R39">
        <v>99999</v>
      </c>
      <c r="S39" t="s">
        <v>30</v>
      </c>
      <c r="U39" t="s">
        <v>88</v>
      </c>
      <c r="V39" t="s">
        <v>89</v>
      </c>
      <c r="W39">
        <v>40</v>
      </c>
      <c r="X39">
        <v>72</v>
      </c>
      <c r="Y39" s="4">
        <v>2880</v>
      </c>
      <c r="Z39" s="3">
        <v>285.12</v>
      </c>
    </row>
    <row r="40" spans="1:26" hidden="1" x14ac:dyDescent="0.35">
      <c r="A40">
        <v>1040</v>
      </c>
      <c r="B40" s="2">
        <v>41671</v>
      </c>
      <c r="C40">
        <v>1</v>
      </c>
      <c r="D40" t="s">
        <v>118</v>
      </c>
      <c r="E40" t="s">
        <v>119</v>
      </c>
      <c r="F40" t="s">
        <v>120</v>
      </c>
      <c r="G40" t="s">
        <v>121</v>
      </c>
      <c r="H40">
        <v>99999</v>
      </c>
      <c r="I40" t="s">
        <v>30</v>
      </c>
      <c r="J40" t="s">
        <v>60</v>
      </c>
      <c r="K40" t="s">
        <v>61</v>
      </c>
      <c r="M40" t="s">
        <v>62</v>
      </c>
      <c r="N40" t="s">
        <v>122</v>
      </c>
      <c r="O40" t="s">
        <v>119</v>
      </c>
      <c r="P40" t="s">
        <v>120</v>
      </c>
      <c r="Q40" t="s">
        <v>121</v>
      </c>
      <c r="R40">
        <v>99999</v>
      </c>
      <c r="S40" t="s">
        <v>30</v>
      </c>
      <c r="U40" t="s">
        <v>123</v>
      </c>
      <c r="V40" t="s">
        <v>124</v>
      </c>
      <c r="W40">
        <v>18.399999999999999</v>
      </c>
      <c r="X40">
        <v>13</v>
      </c>
      <c r="Y40" s="4">
        <v>239.2</v>
      </c>
      <c r="Z40" s="3">
        <v>23.680800000000001</v>
      </c>
    </row>
    <row r="41" spans="1:26" hidden="1" x14ac:dyDescent="0.35">
      <c r="A41">
        <v>1041</v>
      </c>
      <c r="B41" s="2">
        <v>41698</v>
      </c>
      <c r="C41">
        <v>28</v>
      </c>
      <c r="D41" t="s">
        <v>90</v>
      </c>
      <c r="E41" t="s">
        <v>91</v>
      </c>
      <c r="F41" t="s">
        <v>92</v>
      </c>
      <c r="G41" t="s">
        <v>93</v>
      </c>
      <c r="H41">
        <v>99999</v>
      </c>
      <c r="I41" t="s">
        <v>30</v>
      </c>
      <c r="J41" t="s">
        <v>94</v>
      </c>
      <c r="K41" t="s">
        <v>95</v>
      </c>
      <c r="L41">
        <v>41700</v>
      </c>
      <c r="M41" t="s">
        <v>62</v>
      </c>
      <c r="N41" t="s">
        <v>96</v>
      </c>
      <c r="O41" t="s">
        <v>91</v>
      </c>
      <c r="P41" t="s">
        <v>92</v>
      </c>
      <c r="Q41" t="s">
        <v>93</v>
      </c>
      <c r="R41">
        <v>99999</v>
      </c>
      <c r="S41" t="s">
        <v>30</v>
      </c>
      <c r="T41" t="s">
        <v>48</v>
      </c>
      <c r="U41" t="s">
        <v>55</v>
      </c>
      <c r="V41" t="s">
        <v>37</v>
      </c>
      <c r="W41">
        <v>46</v>
      </c>
      <c r="X41">
        <v>32</v>
      </c>
      <c r="Y41" s="4">
        <v>1472</v>
      </c>
      <c r="Z41" s="3">
        <v>148.67200000000003</v>
      </c>
    </row>
    <row r="42" spans="1:26" hidden="1" x14ac:dyDescent="0.35">
      <c r="A42">
        <v>1042</v>
      </c>
      <c r="B42" s="2">
        <v>41679</v>
      </c>
      <c r="C42">
        <v>9</v>
      </c>
      <c r="D42" t="s">
        <v>125</v>
      </c>
      <c r="E42" t="s">
        <v>126</v>
      </c>
      <c r="F42" t="s">
        <v>127</v>
      </c>
      <c r="G42" t="s">
        <v>128</v>
      </c>
      <c r="H42">
        <v>99999</v>
      </c>
      <c r="I42" t="s">
        <v>30</v>
      </c>
      <c r="J42" t="s">
        <v>129</v>
      </c>
      <c r="K42" t="s">
        <v>32</v>
      </c>
      <c r="L42" s="2">
        <v>41681</v>
      </c>
      <c r="M42" t="s">
        <v>46</v>
      </c>
      <c r="N42" t="s">
        <v>130</v>
      </c>
      <c r="O42" t="s">
        <v>126</v>
      </c>
      <c r="P42" t="s">
        <v>127</v>
      </c>
      <c r="Q42" t="s">
        <v>128</v>
      </c>
      <c r="R42">
        <v>99999</v>
      </c>
      <c r="S42" t="s">
        <v>30</v>
      </c>
      <c r="T42" t="s">
        <v>35</v>
      </c>
      <c r="U42" t="s">
        <v>80</v>
      </c>
      <c r="V42" t="s">
        <v>81</v>
      </c>
      <c r="W42">
        <v>9.65</v>
      </c>
      <c r="X42">
        <v>27</v>
      </c>
      <c r="Y42" s="4">
        <v>260.55</v>
      </c>
      <c r="Z42" s="3">
        <v>24.752250000000004</v>
      </c>
    </row>
    <row r="43" spans="1:26" hidden="1" x14ac:dyDescent="0.35">
      <c r="A43">
        <v>1043</v>
      </c>
      <c r="B43" s="2">
        <v>41676</v>
      </c>
      <c r="C43">
        <v>6</v>
      </c>
      <c r="D43" t="s">
        <v>82</v>
      </c>
      <c r="E43" t="s">
        <v>83</v>
      </c>
      <c r="F43" t="s">
        <v>84</v>
      </c>
      <c r="G43" t="s">
        <v>85</v>
      </c>
      <c r="H43">
        <v>99999</v>
      </c>
      <c r="I43" t="s">
        <v>30</v>
      </c>
      <c r="J43" t="s">
        <v>86</v>
      </c>
      <c r="K43" t="s">
        <v>61</v>
      </c>
      <c r="L43" s="2">
        <v>41678</v>
      </c>
      <c r="M43" t="s">
        <v>33</v>
      </c>
      <c r="N43" t="s">
        <v>87</v>
      </c>
      <c r="O43" t="s">
        <v>83</v>
      </c>
      <c r="P43" t="s">
        <v>84</v>
      </c>
      <c r="Q43" t="s">
        <v>85</v>
      </c>
      <c r="R43">
        <v>99999</v>
      </c>
      <c r="S43" t="s">
        <v>30</v>
      </c>
      <c r="T43" t="s">
        <v>48</v>
      </c>
      <c r="U43" t="s">
        <v>72</v>
      </c>
      <c r="V43" t="s">
        <v>73</v>
      </c>
      <c r="W43">
        <v>12.75</v>
      </c>
      <c r="X43">
        <v>71</v>
      </c>
      <c r="Y43" s="4">
        <v>905.25</v>
      </c>
      <c r="Z43" s="3">
        <v>91.430250000000001</v>
      </c>
    </row>
    <row r="44" spans="1:26" hidden="1" x14ac:dyDescent="0.35">
      <c r="A44">
        <v>1044</v>
      </c>
      <c r="B44" s="2">
        <v>41678</v>
      </c>
      <c r="C44">
        <v>8</v>
      </c>
      <c r="D44" t="s">
        <v>56</v>
      </c>
      <c r="E44" t="s">
        <v>57</v>
      </c>
      <c r="F44" t="s">
        <v>58</v>
      </c>
      <c r="G44" t="s">
        <v>59</v>
      </c>
      <c r="H44">
        <v>99999</v>
      </c>
      <c r="I44" t="s">
        <v>30</v>
      </c>
      <c r="J44" t="s">
        <v>60</v>
      </c>
      <c r="K44" t="s">
        <v>61</v>
      </c>
      <c r="L44" s="2">
        <v>41680</v>
      </c>
      <c r="M44" t="s">
        <v>33</v>
      </c>
      <c r="N44" t="s">
        <v>63</v>
      </c>
      <c r="O44" t="s">
        <v>57</v>
      </c>
      <c r="P44" t="s">
        <v>58</v>
      </c>
      <c r="Q44" t="s">
        <v>59</v>
      </c>
      <c r="R44">
        <v>99999</v>
      </c>
      <c r="S44" t="s">
        <v>30</v>
      </c>
      <c r="T44" t="s">
        <v>35</v>
      </c>
      <c r="U44" t="s">
        <v>72</v>
      </c>
      <c r="V44" t="s">
        <v>73</v>
      </c>
      <c r="W44">
        <v>12.75</v>
      </c>
      <c r="X44">
        <v>13</v>
      </c>
      <c r="Y44" s="4">
        <v>165.75</v>
      </c>
      <c r="Z44" s="3">
        <v>15.746249999999998</v>
      </c>
    </row>
    <row r="45" spans="1:26" hidden="1" x14ac:dyDescent="0.35">
      <c r="A45">
        <v>1045</v>
      </c>
      <c r="B45" s="2">
        <v>41695</v>
      </c>
      <c r="C45">
        <v>25</v>
      </c>
      <c r="D45" t="s">
        <v>137</v>
      </c>
      <c r="E45" t="s">
        <v>138</v>
      </c>
      <c r="F45" t="s">
        <v>99</v>
      </c>
      <c r="G45" t="s">
        <v>100</v>
      </c>
      <c r="H45">
        <v>99999</v>
      </c>
      <c r="I45" t="s">
        <v>30</v>
      </c>
      <c r="J45" t="s">
        <v>101</v>
      </c>
      <c r="K45" t="s">
        <v>45</v>
      </c>
      <c r="L45" s="2">
        <v>41697</v>
      </c>
      <c r="M45" t="s">
        <v>46</v>
      </c>
      <c r="N45" t="s">
        <v>139</v>
      </c>
      <c r="O45" t="s">
        <v>138</v>
      </c>
      <c r="P45" t="s">
        <v>99</v>
      </c>
      <c r="Q45" t="s">
        <v>100</v>
      </c>
      <c r="R45">
        <v>99999</v>
      </c>
      <c r="S45" t="s">
        <v>30</v>
      </c>
      <c r="T45" t="s">
        <v>79</v>
      </c>
      <c r="U45" t="s">
        <v>111</v>
      </c>
      <c r="V45" t="s">
        <v>112</v>
      </c>
      <c r="W45">
        <v>22</v>
      </c>
      <c r="X45">
        <v>98</v>
      </c>
      <c r="Y45" s="4">
        <v>2156</v>
      </c>
      <c r="Z45" s="3">
        <v>204.82000000000002</v>
      </c>
    </row>
    <row r="46" spans="1:26" hidden="1" x14ac:dyDescent="0.35">
      <c r="A46">
        <v>1046</v>
      </c>
      <c r="B46" s="2">
        <v>41696</v>
      </c>
      <c r="C46">
        <v>26</v>
      </c>
      <c r="D46" t="s">
        <v>140</v>
      </c>
      <c r="E46" t="s">
        <v>141</v>
      </c>
      <c r="F46" t="s">
        <v>115</v>
      </c>
      <c r="G46" t="s">
        <v>116</v>
      </c>
      <c r="H46">
        <v>99999</v>
      </c>
      <c r="I46" t="s">
        <v>30</v>
      </c>
      <c r="J46" t="s">
        <v>94</v>
      </c>
      <c r="K46" t="s">
        <v>95</v>
      </c>
      <c r="L46" s="2">
        <v>41698</v>
      </c>
      <c r="M46" t="s">
        <v>62</v>
      </c>
      <c r="N46" t="s">
        <v>142</v>
      </c>
      <c r="O46" t="s">
        <v>141</v>
      </c>
      <c r="P46" t="s">
        <v>115</v>
      </c>
      <c r="Q46" t="s">
        <v>116</v>
      </c>
      <c r="R46">
        <v>99999</v>
      </c>
      <c r="S46" t="s">
        <v>30</v>
      </c>
      <c r="T46" t="s">
        <v>48</v>
      </c>
      <c r="U46" t="s">
        <v>109</v>
      </c>
      <c r="V46" t="s">
        <v>110</v>
      </c>
      <c r="W46">
        <v>25</v>
      </c>
      <c r="X46">
        <v>21</v>
      </c>
      <c r="Y46" s="4">
        <v>525</v>
      </c>
      <c r="Z46" s="3">
        <v>53.550000000000004</v>
      </c>
    </row>
    <row r="47" spans="1:26" hidden="1" x14ac:dyDescent="0.35">
      <c r="A47">
        <v>1047</v>
      </c>
      <c r="B47" s="2">
        <v>41699</v>
      </c>
      <c r="C47">
        <v>29</v>
      </c>
      <c r="D47" t="s">
        <v>66</v>
      </c>
      <c r="E47" t="s">
        <v>67</v>
      </c>
      <c r="F47" t="s">
        <v>68</v>
      </c>
      <c r="G47" t="s">
        <v>69</v>
      </c>
      <c r="H47">
        <v>99999</v>
      </c>
      <c r="I47" t="s">
        <v>30</v>
      </c>
      <c r="J47" t="s">
        <v>70</v>
      </c>
      <c r="K47" t="s">
        <v>32</v>
      </c>
      <c r="L47" s="2">
        <v>41701</v>
      </c>
      <c r="M47" t="s">
        <v>33</v>
      </c>
      <c r="N47" t="s">
        <v>71</v>
      </c>
      <c r="O47" t="s">
        <v>67</v>
      </c>
      <c r="P47" t="s">
        <v>68</v>
      </c>
      <c r="Q47" t="s">
        <v>69</v>
      </c>
      <c r="R47">
        <v>99999</v>
      </c>
      <c r="S47" t="s">
        <v>30</v>
      </c>
      <c r="T47" t="s">
        <v>35</v>
      </c>
      <c r="U47" t="s">
        <v>143</v>
      </c>
      <c r="V47" t="s">
        <v>144</v>
      </c>
      <c r="W47">
        <v>39</v>
      </c>
      <c r="X47">
        <v>26</v>
      </c>
      <c r="Y47" s="4">
        <v>1014</v>
      </c>
      <c r="Z47" s="3">
        <v>106.47000000000001</v>
      </c>
    </row>
    <row r="48" spans="1:26" hidden="1" x14ac:dyDescent="0.35">
      <c r="A48">
        <v>1048</v>
      </c>
      <c r="B48" s="2">
        <v>41676</v>
      </c>
      <c r="C48">
        <v>6</v>
      </c>
      <c r="D48" t="s">
        <v>82</v>
      </c>
      <c r="E48" t="s">
        <v>83</v>
      </c>
      <c r="F48" t="s">
        <v>84</v>
      </c>
      <c r="G48" t="s">
        <v>85</v>
      </c>
      <c r="H48">
        <v>99999</v>
      </c>
      <c r="I48" t="s">
        <v>30</v>
      </c>
      <c r="J48" t="s">
        <v>86</v>
      </c>
      <c r="K48" t="s">
        <v>61</v>
      </c>
      <c r="L48" s="2">
        <v>41678</v>
      </c>
      <c r="M48" t="s">
        <v>62</v>
      </c>
      <c r="N48" t="s">
        <v>87</v>
      </c>
      <c r="O48" t="s">
        <v>83</v>
      </c>
      <c r="P48" t="s">
        <v>84</v>
      </c>
      <c r="Q48" t="s">
        <v>85</v>
      </c>
      <c r="R48">
        <v>99999</v>
      </c>
      <c r="S48" t="s">
        <v>30</v>
      </c>
      <c r="T48" t="s">
        <v>35</v>
      </c>
      <c r="U48" t="s">
        <v>49</v>
      </c>
      <c r="V48" t="s">
        <v>39</v>
      </c>
      <c r="W48">
        <v>30</v>
      </c>
      <c r="X48">
        <v>96</v>
      </c>
      <c r="Y48" s="4">
        <v>2880</v>
      </c>
      <c r="Z48" s="3">
        <v>296.64</v>
      </c>
    </row>
    <row r="49" spans="1:26" hidden="1" x14ac:dyDescent="0.35">
      <c r="A49">
        <v>1049</v>
      </c>
      <c r="B49" s="2">
        <v>41676</v>
      </c>
      <c r="C49">
        <v>6</v>
      </c>
      <c r="D49" t="s">
        <v>82</v>
      </c>
      <c r="E49" t="s">
        <v>83</v>
      </c>
      <c r="F49" t="s">
        <v>84</v>
      </c>
      <c r="G49" t="s">
        <v>85</v>
      </c>
      <c r="H49">
        <v>99999</v>
      </c>
      <c r="I49" t="s">
        <v>30</v>
      </c>
      <c r="J49" t="s">
        <v>86</v>
      </c>
      <c r="K49" t="s">
        <v>61</v>
      </c>
      <c r="L49" s="2">
        <v>41678</v>
      </c>
      <c r="M49" t="s">
        <v>62</v>
      </c>
      <c r="N49" t="s">
        <v>87</v>
      </c>
      <c r="O49" t="s">
        <v>83</v>
      </c>
      <c r="P49" t="s">
        <v>84</v>
      </c>
      <c r="Q49" t="s">
        <v>85</v>
      </c>
      <c r="R49">
        <v>99999</v>
      </c>
      <c r="S49" t="s">
        <v>30</v>
      </c>
      <c r="T49" t="s">
        <v>35</v>
      </c>
      <c r="U49" t="s">
        <v>50</v>
      </c>
      <c r="V49" t="s">
        <v>39</v>
      </c>
      <c r="W49">
        <v>53</v>
      </c>
      <c r="X49">
        <v>16</v>
      </c>
      <c r="Y49" s="4">
        <v>848</v>
      </c>
      <c r="Z49" s="3">
        <v>88.192000000000021</v>
      </c>
    </row>
    <row r="50" spans="1:26" hidden="1" x14ac:dyDescent="0.35">
      <c r="A50">
        <v>1050</v>
      </c>
      <c r="B50" s="2">
        <v>41674</v>
      </c>
      <c r="C50">
        <v>4</v>
      </c>
      <c r="D50" t="s">
        <v>40</v>
      </c>
      <c r="E50" t="s">
        <v>41</v>
      </c>
      <c r="F50" t="s">
        <v>42</v>
      </c>
      <c r="G50" t="s">
        <v>43</v>
      </c>
      <c r="H50">
        <v>99999</v>
      </c>
      <c r="I50" t="s">
        <v>30</v>
      </c>
      <c r="J50" t="s">
        <v>44</v>
      </c>
      <c r="K50" t="s">
        <v>45</v>
      </c>
      <c r="L50" s="2"/>
      <c r="N50" t="s">
        <v>47</v>
      </c>
      <c r="O50" t="s">
        <v>41</v>
      </c>
      <c r="P50" t="s">
        <v>42</v>
      </c>
      <c r="Q50" t="s">
        <v>43</v>
      </c>
      <c r="R50">
        <v>99999</v>
      </c>
      <c r="S50" t="s">
        <v>30</v>
      </c>
      <c r="U50" t="s">
        <v>145</v>
      </c>
      <c r="V50" t="s">
        <v>132</v>
      </c>
      <c r="W50">
        <v>38</v>
      </c>
      <c r="X50">
        <v>96</v>
      </c>
      <c r="Y50" s="4">
        <v>3648</v>
      </c>
      <c r="Z50" s="3">
        <v>346.56</v>
      </c>
    </row>
    <row r="51" spans="1:26" hidden="1" x14ac:dyDescent="0.35">
      <c r="A51">
        <v>1051</v>
      </c>
      <c r="B51" s="2">
        <v>41673</v>
      </c>
      <c r="C51">
        <v>3</v>
      </c>
      <c r="D51" t="s">
        <v>74</v>
      </c>
      <c r="E51" t="s">
        <v>75</v>
      </c>
      <c r="F51" t="s">
        <v>76</v>
      </c>
      <c r="G51" t="s">
        <v>77</v>
      </c>
      <c r="H51">
        <v>99999</v>
      </c>
      <c r="I51" t="s">
        <v>30</v>
      </c>
      <c r="J51" t="s">
        <v>31</v>
      </c>
      <c r="K51" t="s">
        <v>32</v>
      </c>
      <c r="N51" t="s">
        <v>78</v>
      </c>
      <c r="O51" t="s">
        <v>75</v>
      </c>
      <c r="P51" t="s">
        <v>76</v>
      </c>
      <c r="Q51" t="s">
        <v>77</v>
      </c>
      <c r="R51">
        <v>99999</v>
      </c>
      <c r="S51" t="s">
        <v>30</v>
      </c>
      <c r="U51" t="s">
        <v>103</v>
      </c>
      <c r="V51" t="s">
        <v>37</v>
      </c>
      <c r="W51">
        <v>2.99</v>
      </c>
      <c r="X51">
        <v>75</v>
      </c>
      <c r="Y51" s="4">
        <v>224.25000000000003</v>
      </c>
      <c r="Z51" s="3">
        <v>23.097750000000005</v>
      </c>
    </row>
    <row r="52" spans="1:26" hidden="1" x14ac:dyDescent="0.35">
      <c r="A52">
        <v>1052</v>
      </c>
      <c r="B52" s="2">
        <v>41707</v>
      </c>
      <c r="C52">
        <v>9</v>
      </c>
      <c r="D52" t="s">
        <v>125</v>
      </c>
      <c r="E52" t="s">
        <v>126</v>
      </c>
      <c r="F52" t="s">
        <v>127</v>
      </c>
      <c r="G52" t="s">
        <v>128</v>
      </c>
      <c r="H52">
        <v>99999</v>
      </c>
      <c r="I52" t="s">
        <v>30</v>
      </c>
      <c r="J52" t="s">
        <v>129</v>
      </c>
      <c r="K52" t="s">
        <v>32</v>
      </c>
      <c r="L52">
        <v>41709</v>
      </c>
      <c r="M52" t="s">
        <v>46</v>
      </c>
      <c r="N52" t="s">
        <v>130</v>
      </c>
      <c r="O52" t="s">
        <v>126</v>
      </c>
      <c r="P52" t="s">
        <v>127</v>
      </c>
      <c r="Q52" t="s">
        <v>128</v>
      </c>
      <c r="R52">
        <v>99999</v>
      </c>
      <c r="S52" t="s">
        <v>30</v>
      </c>
      <c r="T52" t="s">
        <v>35</v>
      </c>
      <c r="U52" t="s">
        <v>131</v>
      </c>
      <c r="V52" t="s">
        <v>132</v>
      </c>
      <c r="W52">
        <v>19.5</v>
      </c>
      <c r="X52">
        <v>55</v>
      </c>
      <c r="Y52" s="4">
        <v>1072.5</v>
      </c>
      <c r="Z52" s="3">
        <v>108.32250000000001</v>
      </c>
    </row>
    <row r="53" spans="1:26" hidden="1" x14ac:dyDescent="0.35">
      <c r="A53">
        <v>1053</v>
      </c>
      <c r="B53" s="2">
        <v>41707</v>
      </c>
      <c r="C53">
        <v>9</v>
      </c>
      <c r="D53" t="s">
        <v>125</v>
      </c>
      <c r="E53" t="s">
        <v>126</v>
      </c>
      <c r="F53" t="s">
        <v>127</v>
      </c>
      <c r="G53" t="s">
        <v>128</v>
      </c>
      <c r="H53">
        <v>99999</v>
      </c>
      <c r="I53" t="s">
        <v>30</v>
      </c>
      <c r="J53" t="s">
        <v>129</v>
      </c>
      <c r="K53" t="s">
        <v>32</v>
      </c>
      <c r="L53" s="2">
        <v>41709</v>
      </c>
      <c r="M53" t="s">
        <v>46</v>
      </c>
      <c r="N53" t="s">
        <v>130</v>
      </c>
      <c r="O53" t="s">
        <v>126</v>
      </c>
      <c r="P53" t="s">
        <v>127</v>
      </c>
      <c r="Q53" t="s">
        <v>128</v>
      </c>
      <c r="R53">
        <v>99999</v>
      </c>
      <c r="S53" t="s">
        <v>30</v>
      </c>
      <c r="T53" t="s">
        <v>35</v>
      </c>
      <c r="U53" t="s">
        <v>133</v>
      </c>
      <c r="V53" t="s">
        <v>134</v>
      </c>
      <c r="W53" s="3">
        <v>34.799999999999997</v>
      </c>
      <c r="X53">
        <v>11</v>
      </c>
      <c r="Y53" s="4">
        <v>382.79999999999995</v>
      </c>
      <c r="Z53" s="3">
        <v>36.748799999999996</v>
      </c>
    </row>
    <row r="54" spans="1:26" hidden="1" x14ac:dyDescent="0.35">
      <c r="A54">
        <v>1054</v>
      </c>
      <c r="B54" s="2">
        <v>41704</v>
      </c>
      <c r="C54">
        <v>6</v>
      </c>
      <c r="D54" t="s">
        <v>82</v>
      </c>
      <c r="E54" t="s">
        <v>83</v>
      </c>
      <c r="F54" t="s">
        <v>84</v>
      </c>
      <c r="G54" t="s">
        <v>85</v>
      </c>
      <c r="H54">
        <v>99999</v>
      </c>
      <c r="I54" t="s">
        <v>30</v>
      </c>
      <c r="J54" t="s">
        <v>86</v>
      </c>
      <c r="K54" t="s">
        <v>61</v>
      </c>
      <c r="L54" s="2">
        <v>41706</v>
      </c>
      <c r="M54" t="s">
        <v>33</v>
      </c>
      <c r="N54" t="s">
        <v>87</v>
      </c>
      <c r="O54" t="s">
        <v>83</v>
      </c>
      <c r="P54" t="s">
        <v>84</v>
      </c>
      <c r="Q54" t="s">
        <v>85</v>
      </c>
      <c r="R54">
        <v>99999</v>
      </c>
      <c r="S54" t="s">
        <v>30</v>
      </c>
      <c r="T54" t="s">
        <v>48</v>
      </c>
      <c r="U54" t="s">
        <v>36</v>
      </c>
      <c r="V54" t="s">
        <v>37</v>
      </c>
      <c r="W54" s="3">
        <v>14</v>
      </c>
      <c r="X54">
        <v>53</v>
      </c>
      <c r="Y54" s="4">
        <v>742</v>
      </c>
      <c r="Z54" s="3">
        <v>71.974000000000004</v>
      </c>
    </row>
    <row r="55" spans="1:26" hidden="1" x14ac:dyDescent="0.35">
      <c r="A55">
        <v>1055</v>
      </c>
      <c r="B55" s="2">
        <v>41706</v>
      </c>
      <c r="C55">
        <v>8</v>
      </c>
      <c r="D55" t="s">
        <v>56</v>
      </c>
      <c r="E55" t="s">
        <v>57</v>
      </c>
      <c r="F55" t="s">
        <v>58</v>
      </c>
      <c r="G55" t="s">
        <v>59</v>
      </c>
      <c r="H55">
        <v>99999</v>
      </c>
      <c r="I55" t="s">
        <v>30</v>
      </c>
      <c r="J55" t="s">
        <v>60</v>
      </c>
      <c r="K55" t="s">
        <v>61</v>
      </c>
      <c r="L55" s="2">
        <v>41708</v>
      </c>
      <c r="M55" t="s">
        <v>33</v>
      </c>
      <c r="N55" t="s">
        <v>63</v>
      </c>
      <c r="O55" t="s">
        <v>57</v>
      </c>
      <c r="P55" t="s">
        <v>58</v>
      </c>
      <c r="Q55" t="s">
        <v>59</v>
      </c>
      <c r="R55">
        <v>99999</v>
      </c>
      <c r="S55" t="s">
        <v>30</v>
      </c>
      <c r="T55" t="s">
        <v>35</v>
      </c>
      <c r="U55" t="s">
        <v>88</v>
      </c>
      <c r="V55" t="s">
        <v>89</v>
      </c>
      <c r="W55" s="3">
        <v>40</v>
      </c>
      <c r="X55">
        <v>85</v>
      </c>
      <c r="Y55" s="4">
        <v>3400</v>
      </c>
      <c r="Z55" s="3">
        <v>357</v>
      </c>
    </row>
    <row r="56" spans="1:26" hidden="1" x14ac:dyDescent="0.35">
      <c r="A56">
        <v>1056</v>
      </c>
      <c r="B56" s="2">
        <v>41706</v>
      </c>
      <c r="C56">
        <v>8</v>
      </c>
      <c r="D56" t="s">
        <v>56</v>
      </c>
      <c r="E56" t="s">
        <v>57</v>
      </c>
      <c r="F56" t="s">
        <v>58</v>
      </c>
      <c r="G56" t="s">
        <v>59</v>
      </c>
      <c r="H56">
        <v>99999</v>
      </c>
      <c r="I56" t="s">
        <v>30</v>
      </c>
      <c r="J56" t="s">
        <v>60</v>
      </c>
      <c r="K56" t="s">
        <v>61</v>
      </c>
      <c r="L56" s="2">
        <v>41708</v>
      </c>
      <c r="M56" t="s">
        <v>33</v>
      </c>
      <c r="N56" t="s">
        <v>63</v>
      </c>
      <c r="O56" t="s">
        <v>57</v>
      </c>
      <c r="P56" t="s">
        <v>58</v>
      </c>
      <c r="Q56" t="s">
        <v>59</v>
      </c>
      <c r="R56">
        <v>99999</v>
      </c>
      <c r="S56" t="s">
        <v>30</v>
      </c>
      <c r="T56" t="s">
        <v>35</v>
      </c>
      <c r="U56" t="s">
        <v>64</v>
      </c>
      <c r="V56" t="s">
        <v>65</v>
      </c>
      <c r="W56" s="3">
        <v>9.1999999999999993</v>
      </c>
      <c r="X56">
        <v>97</v>
      </c>
      <c r="Y56" s="4">
        <v>892.4</v>
      </c>
      <c r="Z56" s="3">
        <v>91.024800000000013</v>
      </c>
    </row>
    <row r="57" spans="1:26" hidden="1" x14ac:dyDescent="0.35">
      <c r="A57">
        <v>1057</v>
      </c>
      <c r="B57" s="2">
        <v>41723</v>
      </c>
      <c r="C57">
        <v>25</v>
      </c>
      <c r="D57" t="s">
        <v>137</v>
      </c>
      <c r="E57" t="s">
        <v>138</v>
      </c>
      <c r="F57" t="s">
        <v>99</v>
      </c>
      <c r="G57" t="s">
        <v>100</v>
      </c>
      <c r="H57">
        <v>99999</v>
      </c>
      <c r="I57" t="s">
        <v>30</v>
      </c>
      <c r="J57" t="s">
        <v>101</v>
      </c>
      <c r="K57" t="s">
        <v>45</v>
      </c>
      <c r="L57" s="2">
        <v>41725</v>
      </c>
      <c r="M57" t="s">
        <v>46</v>
      </c>
      <c r="N57" t="s">
        <v>139</v>
      </c>
      <c r="O57" t="s">
        <v>138</v>
      </c>
      <c r="P57" t="s">
        <v>99</v>
      </c>
      <c r="Q57" t="s">
        <v>100</v>
      </c>
      <c r="R57">
        <v>99999</v>
      </c>
      <c r="S57" t="s">
        <v>30</v>
      </c>
      <c r="T57" t="s">
        <v>79</v>
      </c>
      <c r="U57" t="s">
        <v>146</v>
      </c>
      <c r="V57" t="s">
        <v>65</v>
      </c>
      <c r="W57" s="3">
        <v>10</v>
      </c>
      <c r="X57">
        <v>46</v>
      </c>
      <c r="Y57" s="4">
        <v>460</v>
      </c>
      <c r="Z57" s="3">
        <v>46.46</v>
      </c>
    </row>
    <row r="58" spans="1:26" hidden="1" x14ac:dyDescent="0.35">
      <c r="A58">
        <v>1058</v>
      </c>
      <c r="B58" s="2">
        <v>41724</v>
      </c>
      <c r="C58">
        <v>26</v>
      </c>
      <c r="D58" t="s">
        <v>140</v>
      </c>
      <c r="E58" t="s">
        <v>141</v>
      </c>
      <c r="F58" t="s">
        <v>115</v>
      </c>
      <c r="G58" t="s">
        <v>116</v>
      </c>
      <c r="H58">
        <v>99999</v>
      </c>
      <c r="I58" t="s">
        <v>30</v>
      </c>
      <c r="J58" t="s">
        <v>94</v>
      </c>
      <c r="K58" t="s">
        <v>95</v>
      </c>
      <c r="L58" s="2">
        <v>41726</v>
      </c>
      <c r="M58" t="s">
        <v>62</v>
      </c>
      <c r="N58" t="s">
        <v>142</v>
      </c>
      <c r="O58" t="s">
        <v>141</v>
      </c>
      <c r="P58" t="s">
        <v>115</v>
      </c>
      <c r="Q58" t="s">
        <v>116</v>
      </c>
      <c r="R58">
        <v>99999</v>
      </c>
      <c r="S58" t="s">
        <v>30</v>
      </c>
      <c r="T58" t="s">
        <v>48</v>
      </c>
      <c r="U58" t="s">
        <v>147</v>
      </c>
      <c r="V58" t="s">
        <v>148</v>
      </c>
      <c r="W58" s="3">
        <v>21.35</v>
      </c>
      <c r="X58">
        <v>97</v>
      </c>
      <c r="Y58" s="4">
        <v>2070.9500000000003</v>
      </c>
      <c r="Z58" s="3">
        <v>196.74025</v>
      </c>
    </row>
    <row r="59" spans="1:26" hidden="1" x14ac:dyDescent="0.35">
      <c r="A59">
        <v>1059</v>
      </c>
      <c r="B59" s="2">
        <v>41724</v>
      </c>
      <c r="C59">
        <v>26</v>
      </c>
      <c r="D59" t="s">
        <v>140</v>
      </c>
      <c r="E59" t="s">
        <v>141</v>
      </c>
      <c r="F59" t="s">
        <v>115</v>
      </c>
      <c r="G59" t="s">
        <v>116</v>
      </c>
      <c r="H59">
        <v>99999</v>
      </c>
      <c r="I59" t="s">
        <v>30</v>
      </c>
      <c r="J59" t="s">
        <v>94</v>
      </c>
      <c r="K59" t="s">
        <v>95</v>
      </c>
      <c r="L59" s="2">
        <v>41726</v>
      </c>
      <c r="M59" t="s">
        <v>62</v>
      </c>
      <c r="N59" t="s">
        <v>142</v>
      </c>
      <c r="O59" t="s">
        <v>141</v>
      </c>
      <c r="P59" t="s">
        <v>115</v>
      </c>
      <c r="Q59" t="s">
        <v>116</v>
      </c>
      <c r="R59">
        <v>99999</v>
      </c>
      <c r="S59" t="s">
        <v>30</v>
      </c>
      <c r="T59" t="s">
        <v>48</v>
      </c>
      <c r="U59" t="s">
        <v>80</v>
      </c>
      <c r="V59" t="s">
        <v>81</v>
      </c>
      <c r="W59" s="3">
        <v>9.65</v>
      </c>
      <c r="X59">
        <v>97</v>
      </c>
      <c r="Y59" s="4">
        <v>936.05000000000007</v>
      </c>
      <c r="Z59" s="3">
        <v>95.477100000000021</v>
      </c>
    </row>
    <row r="60" spans="1:26" hidden="1" x14ac:dyDescent="0.35">
      <c r="A60">
        <v>1060</v>
      </c>
      <c r="B60" s="2">
        <v>41724</v>
      </c>
      <c r="C60">
        <v>26</v>
      </c>
      <c r="D60" t="s">
        <v>140</v>
      </c>
      <c r="E60" t="s">
        <v>141</v>
      </c>
      <c r="F60" t="s">
        <v>115</v>
      </c>
      <c r="G60" t="s">
        <v>116</v>
      </c>
      <c r="H60">
        <v>99999</v>
      </c>
      <c r="I60" t="s">
        <v>30</v>
      </c>
      <c r="J60" t="s">
        <v>94</v>
      </c>
      <c r="K60" t="s">
        <v>95</v>
      </c>
      <c r="L60" s="2">
        <v>41726</v>
      </c>
      <c r="M60" t="s">
        <v>62</v>
      </c>
      <c r="N60" t="s">
        <v>142</v>
      </c>
      <c r="O60" t="s">
        <v>141</v>
      </c>
      <c r="P60" t="s">
        <v>115</v>
      </c>
      <c r="Q60" t="s">
        <v>116</v>
      </c>
      <c r="R60">
        <v>99999</v>
      </c>
      <c r="S60" t="s">
        <v>30</v>
      </c>
      <c r="T60" t="s">
        <v>48</v>
      </c>
      <c r="U60" t="s">
        <v>123</v>
      </c>
      <c r="V60" t="s">
        <v>124</v>
      </c>
      <c r="W60" s="3">
        <v>18.399999999999999</v>
      </c>
      <c r="X60">
        <v>65</v>
      </c>
      <c r="Y60" s="4">
        <v>1196</v>
      </c>
      <c r="Z60" s="3">
        <v>123.18800000000002</v>
      </c>
    </row>
    <row r="61" spans="1:26" hidden="1" x14ac:dyDescent="0.35">
      <c r="A61">
        <v>1061</v>
      </c>
      <c r="B61" s="2">
        <v>41727</v>
      </c>
      <c r="C61">
        <v>29</v>
      </c>
      <c r="D61" t="s">
        <v>66</v>
      </c>
      <c r="E61" t="s">
        <v>67</v>
      </c>
      <c r="F61" t="s">
        <v>68</v>
      </c>
      <c r="G61" t="s">
        <v>69</v>
      </c>
      <c r="H61">
        <v>99999</v>
      </c>
      <c r="I61" t="s">
        <v>30</v>
      </c>
      <c r="J61" t="s">
        <v>70</v>
      </c>
      <c r="K61" t="s">
        <v>32</v>
      </c>
      <c r="L61" s="2">
        <v>41729</v>
      </c>
      <c r="M61" t="s">
        <v>33</v>
      </c>
      <c r="N61" t="s">
        <v>71</v>
      </c>
      <c r="O61" t="s">
        <v>67</v>
      </c>
      <c r="P61" t="s">
        <v>68</v>
      </c>
      <c r="Q61" t="s">
        <v>69</v>
      </c>
      <c r="R61">
        <v>99999</v>
      </c>
      <c r="S61" t="s">
        <v>30</v>
      </c>
      <c r="T61" t="s">
        <v>35</v>
      </c>
      <c r="U61" t="s">
        <v>36</v>
      </c>
      <c r="V61" t="s">
        <v>37</v>
      </c>
      <c r="W61" s="3">
        <v>14</v>
      </c>
      <c r="X61">
        <v>72</v>
      </c>
      <c r="Y61" s="4">
        <v>1008</v>
      </c>
      <c r="Z61" s="3">
        <v>100.80000000000001</v>
      </c>
    </row>
    <row r="62" spans="1:26" hidden="1" x14ac:dyDescent="0.35">
      <c r="A62">
        <v>1062</v>
      </c>
      <c r="B62" s="2">
        <v>41704</v>
      </c>
      <c r="C62">
        <v>6</v>
      </c>
      <c r="D62" t="s">
        <v>82</v>
      </c>
      <c r="E62" t="s">
        <v>83</v>
      </c>
      <c r="F62" t="s">
        <v>84</v>
      </c>
      <c r="G62" t="s">
        <v>85</v>
      </c>
      <c r="H62">
        <v>99999</v>
      </c>
      <c r="I62" t="s">
        <v>30</v>
      </c>
      <c r="J62" t="s">
        <v>86</v>
      </c>
      <c r="K62" t="s">
        <v>61</v>
      </c>
      <c r="L62" s="2">
        <v>41706</v>
      </c>
      <c r="M62" t="s">
        <v>62</v>
      </c>
      <c r="N62" t="s">
        <v>87</v>
      </c>
      <c r="O62" t="s">
        <v>83</v>
      </c>
      <c r="P62" t="s">
        <v>84</v>
      </c>
      <c r="Q62" t="s">
        <v>85</v>
      </c>
      <c r="R62">
        <v>99999</v>
      </c>
      <c r="S62" t="s">
        <v>30</v>
      </c>
      <c r="T62" t="s">
        <v>35</v>
      </c>
      <c r="U62" t="s">
        <v>72</v>
      </c>
      <c r="V62" t="s">
        <v>73</v>
      </c>
      <c r="W62" s="3">
        <v>12.75</v>
      </c>
      <c r="X62">
        <v>16</v>
      </c>
      <c r="Y62" s="4">
        <v>204</v>
      </c>
      <c r="Z62" s="3">
        <v>20.196000000000002</v>
      </c>
    </row>
    <row r="63" spans="1:26" hidden="1" x14ac:dyDescent="0.35">
      <c r="A63">
        <v>1064</v>
      </c>
      <c r="B63" s="2">
        <v>41702</v>
      </c>
      <c r="C63">
        <v>4</v>
      </c>
      <c r="D63" t="s">
        <v>40</v>
      </c>
      <c r="E63" t="s">
        <v>41</v>
      </c>
      <c r="F63" t="s">
        <v>42</v>
      </c>
      <c r="G63" t="s">
        <v>43</v>
      </c>
      <c r="H63">
        <v>99999</v>
      </c>
      <c r="I63" t="s">
        <v>30</v>
      </c>
      <c r="J63" t="s">
        <v>44</v>
      </c>
      <c r="K63" t="s">
        <v>45</v>
      </c>
      <c r="L63" s="2">
        <v>41704</v>
      </c>
      <c r="M63" t="s">
        <v>46</v>
      </c>
      <c r="N63" t="s">
        <v>47</v>
      </c>
      <c r="O63" t="s">
        <v>41</v>
      </c>
      <c r="P63" t="s">
        <v>42</v>
      </c>
      <c r="Q63" t="s">
        <v>43</v>
      </c>
      <c r="R63">
        <v>99999</v>
      </c>
      <c r="S63" t="s">
        <v>30</v>
      </c>
      <c r="T63" t="s">
        <v>48</v>
      </c>
      <c r="U63" t="s">
        <v>149</v>
      </c>
      <c r="V63" t="s">
        <v>110</v>
      </c>
      <c r="W63" s="3">
        <v>81</v>
      </c>
      <c r="X63">
        <v>77</v>
      </c>
      <c r="Y63" s="4">
        <v>6237</v>
      </c>
      <c r="Z63" s="3">
        <v>642.41100000000006</v>
      </c>
    </row>
    <row r="64" spans="1:26" hidden="1" x14ac:dyDescent="0.35">
      <c r="A64">
        <v>1065</v>
      </c>
      <c r="B64" s="2">
        <v>41702</v>
      </c>
      <c r="C64">
        <v>4</v>
      </c>
      <c r="D64" t="s">
        <v>40</v>
      </c>
      <c r="E64" t="s">
        <v>41</v>
      </c>
      <c r="F64" t="s">
        <v>42</v>
      </c>
      <c r="G64" t="s">
        <v>43</v>
      </c>
      <c r="H64">
        <v>99999</v>
      </c>
      <c r="I64" t="s">
        <v>30</v>
      </c>
      <c r="J64" t="s">
        <v>44</v>
      </c>
      <c r="K64" t="s">
        <v>45</v>
      </c>
      <c r="L64" s="2">
        <v>41704</v>
      </c>
      <c r="M64" t="s">
        <v>46</v>
      </c>
      <c r="N64" t="s">
        <v>47</v>
      </c>
      <c r="O64" t="s">
        <v>41</v>
      </c>
      <c r="P64" t="s">
        <v>42</v>
      </c>
      <c r="Q64" t="s">
        <v>43</v>
      </c>
      <c r="R64">
        <v>99999</v>
      </c>
      <c r="S64" t="s">
        <v>30</v>
      </c>
      <c r="T64" t="s">
        <v>48</v>
      </c>
      <c r="U64" t="s">
        <v>150</v>
      </c>
      <c r="V64" t="s">
        <v>151</v>
      </c>
      <c r="W64">
        <v>7</v>
      </c>
      <c r="X64">
        <v>37</v>
      </c>
      <c r="Y64" s="4">
        <v>259</v>
      </c>
      <c r="Z64" s="3">
        <v>24.605</v>
      </c>
    </row>
    <row r="65" spans="1:26" hidden="1" x14ac:dyDescent="0.35">
      <c r="A65">
        <v>1067</v>
      </c>
      <c r="B65" s="2">
        <v>41706</v>
      </c>
      <c r="C65">
        <v>8</v>
      </c>
      <c r="D65" t="s">
        <v>56</v>
      </c>
      <c r="E65" t="s">
        <v>57</v>
      </c>
      <c r="F65" t="s">
        <v>58</v>
      </c>
      <c r="G65" t="s">
        <v>59</v>
      </c>
      <c r="H65">
        <v>99999</v>
      </c>
      <c r="I65" t="s">
        <v>30</v>
      </c>
      <c r="J65" t="s">
        <v>60</v>
      </c>
      <c r="K65" t="s">
        <v>61</v>
      </c>
      <c r="L65" s="2">
        <v>41708</v>
      </c>
      <c r="M65" t="s">
        <v>62</v>
      </c>
      <c r="N65" t="s">
        <v>63</v>
      </c>
      <c r="O65" t="s">
        <v>57</v>
      </c>
      <c r="P65" t="s">
        <v>58</v>
      </c>
      <c r="Q65" t="s">
        <v>59</v>
      </c>
      <c r="R65">
        <v>99999</v>
      </c>
      <c r="S65" t="s">
        <v>30</v>
      </c>
      <c r="T65" t="s">
        <v>48</v>
      </c>
      <c r="U65" t="s">
        <v>133</v>
      </c>
      <c r="V65" t="s">
        <v>134</v>
      </c>
      <c r="W65">
        <v>34.799999999999997</v>
      </c>
      <c r="X65">
        <v>63</v>
      </c>
      <c r="Y65" s="4">
        <v>2192.3999999999996</v>
      </c>
      <c r="Z65" s="3">
        <v>217.04759999999999</v>
      </c>
    </row>
    <row r="66" spans="1:26" hidden="1" x14ac:dyDescent="0.35">
      <c r="A66">
        <v>1070</v>
      </c>
      <c r="B66" s="2">
        <v>41701</v>
      </c>
      <c r="C66">
        <v>3</v>
      </c>
      <c r="D66" t="s">
        <v>74</v>
      </c>
      <c r="E66" t="s">
        <v>75</v>
      </c>
      <c r="F66" t="s">
        <v>76</v>
      </c>
      <c r="G66" t="s">
        <v>77</v>
      </c>
      <c r="H66">
        <v>99999</v>
      </c>
      <c r="I66" t="s">
        <v>30</v>
      </c>
      <c r="J66" t="s">
        <v>31</v>
      </c>
      <c r="K66" t="s">
        <v>32</v>
      </c>
      <c r="L66" s="2">
        <v>41703</v>
      </c>
      <c r="M66" t="s">
        <v>33</v>
      </c>
      <c r="N66" t="s">
        <v>78</v>
      </c>
      <c r="O66" t="s">
        <v>75</v>
      </c>
      <c r="P66" t="s">
        <v>76</v>
      </c>
      <c r="Q66" t="s">
        <v>77</v>
      </c>
      <c r="R66">
        <v>99999</v>
      </c>
      <c r="S66" t="s">
        <v>30</v>
      </c>
      <c r="T66" t="s">
        <v>79</v>
      </c>
      <c r="U66" t="s">
        <v>135</v>
      </c>
      <c r="V66" t="s">
        <v>112</v>
      </c>
      <c r="W66">
        <v>10</v>
      </c>
      <c r="X66">
        <v>48</v>
      </c>
      <c r="Y66" s="4">
        <v>480</v>
      </c>
      <c r="Z66" s="3">
        <v>48</v>
      </c>
    </row>
    <row r="67" spans="1:26" hidden="1" x14ac:dyDescent="0.35">
      <c r="A67">
        <v>1071</v>
      </c>
      <c r="B67" s="2">
        <v>41701</v>
      </c>
      <c r="C67">
        <v>3</v>
      </c>
      <c r="D67" t="s">
        <v>74</v>
      </c>
      <c r="E67" t="s">
        <v>75</v>
      </c>
      <c r="F67" t="s">
        <v>76</v>
      </c>
      <c r="G67" t="s">
        <v>77</v>
      </c>
      <c r="H67">
        <v>99999</v>
      </c>
      <c r="I67" t="s">
        <v>30</v>
      </c>
      <c r="J67" t="s">
        <v>31</v>
      </c>
      <c r="K67" t="s">
        <v>32</v>
      </c>
      <c r="L67" s="2">
        <v>41703</v>
      </c>
      <c r="M67" t="s">
        <v>33</v>
      </c>
      <c r="N67" t="s">
        <v>78</v>
      </c>
      <c r="O67" t="s">
        <v>75</v>
      </c>
      <c r="P67" t="s">
        <v>76</v>
      </c>
      <c r="Q67" t="s">
        <v>77</v>
      </c>
      <c r="R67">
        <v>99999</v>
      </c>
      <c r="S67" t="s">
        <v>30</v>
      </c>
      <c r="T67" t="s">
        <v>79</v>
      </c>
      <c r="U67" t="s">
        <v>88</v>
      </c>
      <c r="V67" t="s">
        <v>89</v>
      </c>
      <c r="W67">
        <v>40</v>
      </c>
      <c r="X67">
        <v>71</v>
      </c>
      <c r="Y67" s="4">
        <v>2840</v>
      </c>
      <c r="Z67" s="3">
        <v>295.36</v>
      </c>
    </row>
    <row r="68" spans="1:26" hidden="1" x14ac:dyDescent="0.35">
      <c r="A68">
        <v>1075</v>
      </c>
      <c r="B68" s="2">
        <v>41708</v>
      </c>
      <c r="C68">
        <v>10</v>
      </c>
      <c r="D68" t="s">
        <v>97</v>
      </c>
      <c r="E68" t="s">
        <v>98</v>
      </c>
      <c r="F68" t="s">
        <v>99</v>
      </c>
      <c r="G68" t="s">
        <v>100</v>
      </c>
      <c r="H68">
        <v>99999</v>
      </c>
      <c r="I68" t="s">
        <v>30</v>
      </c>
      <c r="J68" t="s">
        <v>101</v>
      </c>
      <c r="K68" t="s">
        <v>45</v>
      </c>
      <c r="L68" s="2">
        <v>41710</v>
      </c>
      <c r="M68" t="s">
        <v>33</v>
      </c>
      <c r="N68" t="s">
        <v>102</v>
      </c>
      <c r="O68" t="s">
        <v>98</v>
      </c>
      <c r="P68" t="s">
        <v>99</v>
      </c>
      <c r="Q68" t="s">
        <v>100</v>
      </c>
      <c r="R68">
        <v>99999</v>
      </c>
      <c r="S68" t="s">
        <v>30</v>
      </c>
      <c r="T68" t="s">
        <v>48</v>
      </c>
      <c r="U68" t="s">
        <v>136</v>
      </c>
      <c r="V68" t="s">
        <v>39</v>
      </c>
      <c r="W68">
        <v>10</v>
      </c>
      <c r="X68">
        <v>55</v>
      </c>
      <c r="Y68" s="4">
        <v>550</v>
      </c>
      <c r="Z68" s="3">
        <v>55</v>
      </c>
    </row>
    <row r="69" spans="1:26" hidden="1" x14ac:dyDescent="0.35">
      <c r="A69">
        <v>1077</v>
      </c>
      <c r="B69" s="2">
        <v>41708</v>
      </c>
      <c r="C69">
        <v>10</v>
      </c>
      <c r="D69" t="s">
        <v>97</v>
      </c>
      <c r="E69" t="s">
        <v>98</v>
      </c>
      <c r="F69" t="s">
        <v>99</v>
      </c>
      <c r="G69" t="s">
        <v>100</v>
      </c>
      <c r="H69">
        <v>99999</v>
      </c>
      <c r="I69" t="s">
        <v>30</v>
      </c>
      <c r="J69" t="s">
        <v>101</v>
      </c>
      <c r="K69" t="s">
        <v>45</v>
      </c>
      <c r="L69" s="2"/>
      <c r="M69" t="s">
        <v>46</v>
      </c>
      <c r="N69" t="s">
        <v>102</v>
      </c>
      <c r="O69" t="s">
        <v>98</v>
      </c>
      <c r="P69" t="s">
        <v>99</v>
      </c>
      <c r="Q69" t="s">
        <v>100</v>
      </c>
      <c r="R69">
        <v>99999</v>
      </c>
      <c r="S69" t="s">
        <v>30</v>
      </c>
      <c r="U69" t="s">
        <v>38</v>
      </c>
      <c r="V69" t="s">
        <v>39</v>
      </c>
      <c r="W69">
        <v>3.5</v>
      </c>
      <c r="X69">
        <v>21</v>
      </c>
      <c r="Y69" s="4">
        <v>73.5</v>
      </c>
      <c r="Z69" s="3">
        <v>7.3500000000000005</v>
      </c>
    </row>
    <row r="70" spans="1:26" hidden="1" x14ac:dyDescent="0.35">
      <c r="A70">
        <v>1078</v>
      </c>
      <c r="B70" s="2">
        <v>41709</v>
      </c>
      <c r="C70">
        <v>11</v>
      </c>
      <c r="D70" t="s">
        <v>113</v>
      </c>
      <c r="E70" t="s">
        <v>114</v>
      </c>
      <c r="F70" t="s">
        <v>115</v>
      </c>
      <c r="G70" t="s">
        <v>116</v>
      </c>
      <c r="H70">
        <v>99999</v>
      </c>
      <c r="I70" t="s">
        <v>30</v>
      </c>
      <c r="J70" t="s">
        <v>94</v>
      </c>
      <c r="K70" t="s">
        <v>95</v>
      </c>
      <c r="L70" s="2"/>
      <c r="M70" t="s">
        <v>62</v>
      </c>
      <c r="N70" t="s">
        <v>117</v>
      </c>
      <c r="O70" t="s">
        <v>114</v>
      </c>
      <c r="P70" t="s">
        <v>115</v>
      </c>
      <c r="Q70" t="s">
        <v>116</v>
      </c>
      <c r="R70">
        <v>99999</v>
      </c>
      <c r="S70" t="s">
        <v>30</v>
      </c>
      <c r="U70" t="s">
        <v>88</v>
      </c>
      <c r="V70" t="s">
        <v>89</v>
      </c>
      <c r="W70">
        <v>40</v>
      </c>
      <c r="X70">
        <v>67</v>
      </c>
      <c r="Y70" s="4">
        <v>2680</v>
      </c>
      <c r="Z70" s="3">
        <v>270.68</v>
      </c>
    </row>
    <row r="71" spans="1:26" hidden="1" x14ac:dyDescent="0.35">
      <c r="A71">
        <v>1079</v>
      </c>
      <c r="B71" s="2">
        <v>41699</v>
      </c>
      <c r="C71">
        <v>1</v>
      </c>
      <c r="D71" t="s">
        <v>118</v>
      </c>
      <c r="E71" t="s">
        <v>119</v>
      </c>
      <c r="F71" t="s">
        <v>120</v>
      </c>
      <c r="G71" t="s">
        <v>121</v>
      </c>
      <c r="H71">
        <v>99999</v>
      </c>
      <c r="I71" t="s">
        <v>30</v>
      </c>
      <c r="J71" t="s">
        <v>60</v>
      </c>
      <c r="K71" t="s">
        <v>61</v>
      </c>
      <c r="L71" s="2"/>
      <c r="M71" t="s">
        <v>62</v>
      </c>
      <c r="N71" t="s">
        <v>122</v>
      </c>
      <c r="O71" t="s">
        <v>119</v>
      </c>
      <c r="P71" t="s">
        <v>120</v>
      </c>
      <c r="Q71" t="s">
        <v>121</v>
      </c>
      <c r="R71">
        <v>99999</v>
      </c>
      <c r="S71" t="s">
        <v>30</v>
      </c>
      <c r="U71" t="s">
        <v>123</v>
      </c>
      <c r="V71" t="s">
        <v>124</v>
      </c>
      <c r="W71">
        <v>18.399999999999999</v>
      </c>
      <c r="X71">
        <v>75</v>
      </c>
      <c r="Y71" s="4">
        <v>1380</v>
      </c>
      <c r="Z71" s="3">
        <v>138</v>
      </c>
    </row>
    <row r="72" spans="1:26" hidden="1" x14ac:dyDescent="0.35">
      <c r="A72">
        <v>1080</v>
      </c>
      <c r="B72" s="2">
        <v>41726</v>
      </c>
      <c r="C72">
        <v>28</v>
      </c>
      <c r="D72" t="s">
        <v>90</v>
      </c>
      <c r="E72" t="s">
        <v>91</v>
      </c>
      <c r="F72" t="s">
        <v>92</v>
      </c>
      <c r="G72" t="s">
        <v>93</v>
      </c>
      <c r="H72">
        <v>99999</v>
      </c>
      <c r="I72" t="s">
        <v>30</v>
      </c>
      <c r="J72" t="s">
        <v>94</v>
      </c>
      <c r="K72" t="s">
        <v>95</v>
      </c>
      <c r="L72" s="2">
        <v>41728</v>
      </c>
      <c r="M72" t="s">
        <v>62</v>
      </c>
      <c r="N72" t="s">
        <v>96</v>
      </c>
      <c r="O72" t="s">
        <v>91</v>
      </c>
      <c r="P72" t="s">
        <v>92</v>
      </c>
      <c r="Q72" t="s">
        <v>93</v>
      </c>
      <c r="R72">
        <v>99999</v>
      </c>
      <c r="S72" t="s">
        <v>30</v>
      </c>
      <c r="T72" t="s">
        <v>48</v>
      </c>
      <c r="U72" t="s">
        <v>55</v>
      </c>
      <c r="V72" t="s">
        <v>37</v>
      </c>
      <c r="W72">
        <v>46</v>
      </c>
      <c r="X72">
        <v>17</v>
      </c>
      <c r="Y72" s="4">
        <v>782</v>
      </c>
      <c r="Z72" s="3">
        <v>80.546000000000006</v>
      </c>
    </row>
    <row r="73" spans="1:26" hidden="1" x14ac:dyDescent="0.35">
      <c r="A73">
        <v>1081</v>
      </c>
      <c r="B73" s="2">
        <v>41733</v>
      </c>
      <c r="C73">
        <v>4</v>
      </c>
      <c r="D73" t="s">
        <v>40</v>
      </c>
      <c r="E73" t="s">
        <v>41</v>
      </c>
      <c r="F73" t="s">
        <v>42</v>
      </c>
      <c r="G73" t="s">
        <v>43</v>
      </c>
      <c r="H73">
        <v>99999</v>
      </c>
      <c r="I73" t="s">
        <v>30</v>
      </c>
      <c r="J73" t="s">
        <v>44</v>
      </c>
      <c r="K73" t="s">
        <v>45</v>
      </c>
      <c r="L73" s="2">
        <v>41735</v>
      </c>
      <c r="M73" t="s">
        <v>46</v>
      </c>
      <c r="N73" t="s">
        <v>47</v>
      </c>
      <c r="O73" t="s">
        <v>41</v>
      </c>
      <c r="P73" t="s">
        <v>42</v>
      </c>
      <c r="Q73" t="s">
        <v>43</v>
      </c>
      <c r="R73">
        <v>99999</v>
      </c>
      <c r="S73" t="s">
        <v>30</v>
      </c>
      <c r="T73" t="s">
        <v>48</v>
      </c>
      <c r="U73" t="s">
        <v>38</v>
      </c>
      <c r="V73" t="s">
        <v>39</v>
      </c>
      <c r="W73">
        <v>3.5</v>
      </c>
      <c r="X73">
        <v>48</v>
      </c>
      <c r="Y73" s="4">
        <v>168</v>
      </c>
      <c r="Z73" s="3">
        <v>16.295999999999999</v>
      </c>
    </row>
    <row r="74" spans="1:26" hidden="1" x14ac:dyDescent="0.35">
      <c r="A74">
        <v>1082</v>
      </c>
      <c r="B74" s="2">
        <v>41741</v>
      </c>
      <c r="C74">
        <v>12</v>
      </c>
      <c r="D74" t="s">
        <v>51</v>
      </c>
      <c r="E74" t="s">
        <v>52</v>
      </c>
      <c r="F74" t="s">
        <v>28</v>
      </c>
      <c r="G74" t="s">
        <v>29</v>
      </c>
      <c r="H74">
        <v>99999</v>
      </c>
      <c r="I74" t="s">
        <v>30</v>
      </c>
      <c r="J74" t="s">
        <v>31</v>
      </c>
      <c r="K74" t="s">
        <v>32</v>
      </c>
      <c r="L74" s="2">
        <v>41743</v>
      </c>
      <c r="M74" t="s">
        <v>33</v>
      </c>
      <c r="N74" t="s">
        <v>53</v>
      </c>
      <c r="O74" t="s">
        <v>52</v>
      </c>
      <c r="P74" t="s">
        <v>28</v>
      </c>
      <c r="Q74" t="s">
        <v>29</v>
      </c>
      <c r="R74">
        <v>99999</v>
      </c>
      <c r="S74" t="s">
        <v>30</v>
      </c>
      <c r="T74" t="s">
        <v>48</v>
      </c>
      <c r="U74" t="s">
        <v>54</v>
      </c>
      <c r="V74" t="s">
        <v>37</v>
      </c>
      <c r="W74">
        <v>18</v>
      </c>
      <c r="X74">
        <v>74</v>
      </c>
      <c r="Y74" s="4">
        <v>1332</v>
      </c>
      <c r="Z74" s="3">
        <v>137.19600000000003</v>
      </c>
    </row>
    <row r="75" spans="1:26" hidden="1" x14ac:dyDescent="0.35">
      <c r="A75">
        <v>1083</v>
      </c>
      <c r="B75" s="2">
        <v>41741</v>
      </c>
      <c r="C75">
        <v>12</v>
      </c>
      <c r="D75" t="s">
        <v>51</v>
      </c>
      <c r="E75" t="s">
        <v>52</v>
      </c>
      <c r="F75" t="s">
        <v>28</v>
      </c>
      <c r="G75" t="s">
        <v>29</v>
      </c>
      <c r="H75">
        <v>99999</v>
      </c>
      <c r="I75" t="s">
        <v>30</v>
      </c>
      <c r="J75" t="s">
        <v>31</v>
      </c>
      <c r="K75" t="s">
        <v>32</v>
      </c>
      <c r="L75" s="2">
        <v>41743</v>
      </c>
      <c r="M75" t="s">
        <v>33</v>
      </c>
      <c r="N75" t="s">
        <v>53</v>
      </c>
      <c r="O75" t="s">
        <v>52</v>
      </c>
      <c r="P75" t="s">
        <v>28</v>
      </c>
      <c r="Q75" t="s">
        <v>29</v>
      </c>
      <c r="R75">
        <v>99999</v>
      </c>
      <c r="S75" t="s">
        <v>30</v>
      </c>
      <c r="T75" t="s">
        <v>48</v>
      </c>
      <c r="U75" t="s">
        <v>55</v>
      </c>
      <c r="V75" t="s">
        <v>37</v>
      </c>
      <c r="W75">
        <v>46</v>
      </c>
      <c r="X75">
        <v>96</v>
      </c>
      <c r="Y75" s="4">
        <v>4416</v>
      </c>
      <c r="Z75" s="3">
        <v>428.35200000000003</v>
      </c>
    </row>
    <row r="76" spans="1:26" hidden="1" x14ac:dyDescent="0.35">
      <c r="A76">
        <v>1084</v>
      </c>
      <c r="B76" s="2">
        <v>41737</v>
      </c>
      <c r="C76">
        <v>8</v>
      </c>
      <c r="D76" t="s">
        <v>56</v>
      </c>
      <c r="E76" t="s">
        <v>57</v>
      </c>
      <c r="F76" t="s">
        <v>58</v>
      </c>
      <c r="G76" t="s">
        <v>59</v>
      </c>
      <c r="H76">
        <v>99999</v>
      </c>
      <c r="I76" t="s">
        <v>30</v>
      </c>
      <c r="J76" t="s">
        <v>60</v>
      </c>
      <c r="K76" t="s">
        <v>61</v>
      </c>
      <c r="L76" s="2">
        <v>41739</v>
      </c>
      <c r="M76" t="s">
        <v>62</v>
      </c>
      <c r="N76" t="s">
        <v>63</v>
      </c>
      <c r="O76" t="s">
        <v>57</v>
      </c>
      <c r="P76" t="s">
        <v>58</v>
      </c>
      <c r="Q76" t="s">
        <v>59</v>
      </c>
      <c r="R76">
        <v>99999</v>
      </c>
      <c r="S76" t="s">
        <v>30</v>
      </c>
      <c r="T76" t="s">
        <v>48</v>
      </c>
      <c r="U76" t="s">
        <v>64</v>
      </c>
      <c r="V76" t="s">
        <v>65</v>
      </c>
      <c r="W76">
        <v>9.1999999999999993</v>
      </c>
      <c r="X76">
        <v>12</v>
      </c>
      <c r="Y76" s="4">
        <v>110.39999999999999</v>
      </c>
      <c r="Z76" s="3">
        <v>11.3712</v>
      </c>
    </row>
    <row r="77" spans="1:26" hidden="1" x14ac:dyDescent="0.35">
      <c r="A77">
        <v>1085</v>
      </c>
      <c r="B77" s="2">
        <v>41733</v>
      </c>
      <c r="C77">
        <v>4</v>
      </c>
      <c r="D77" t="s">
        <v>40</v>
      </c>
      <c r="E77" t="s">
        <v>41</v>
      </c>
      <c r="F77" t="s">
        <v>42</v>
      </c>
      <c r="G77" t="s">
        <v>43</v>
      </c>
      <c r="H77">
        <v>99999</v>
      </c>
      <c r="I77" t="s">
        <v>30</v>
      </c>
      <c r="J77" t="s">
        <v>44</v>
      </c>
      <c r="K77" t="s">
        <v>45</v>
      </c>
      <c r="L77">
        <v>41735</v>
      </c>
      <c r="M77" t="s">
        <v>62</v>
      </c>
      <c r="N77" t="s">
        <v>47</v>
      </c>
      <c r="O77" t="s">
        <v>41</v>
      </c>
      <c r="P77" t="s">
        <v>42</v>
      </c>
      <c r="Q77" t="s">
        <v>43</v>
      </c>
      <c r="R77">
        <v>99999</v>
      </c>
      <c r="S77" t="s">
        <v>30</v>
      </c>
      <c r="T77" t="s">
        <v>35</v>
      </c>
      <c r="U77" t="s">
        <v>64</v>
      </c>
      <c r="V77" t="s">
        <v>65</v>
      </c>
      <c r="W77">
        <v>9.1999999999999993</v>
      </c>
      <c r="X77">
        <v>62</v>
      </c>
      <c r="Y77" s="4">
        <v>570.4</v>
      </c>
      <c r="Z77" s="3">
        <v>58.751199999999997</v>
      </c>
    </row>
    <row r="78" spans="1:26" hidden="1" x14ac:dyDescent="0.35">
      <c r="A78">
        <v>1086</v>
      </c>
      <c r="B78" s="2">
        <v>41758</v>
      </c>
      <c r="C78">
        <v>29</v>
      </c>
      <c r="D78" t="s">
        <v>66</v>
      </c>
      <c r="E78" t="s">
        <v>67</v>
      </c>
      <c r="F78" t="s">
        <v>68</v>
      </c>
      <c r="G78" t="s">
        <v>69</v>
      </c>
      <c r="H78">
        <v>99999</v>
      </c>
      <c r="I78" t="s">
        <v>30</v>
      </c>
      <c r="J78" t="s">
        <v>70</v>
      </c>
      <c r="K78" t="s">
        <v>32</v>
      </c>
      <c r="L78">
        <v>41760</v>
      </c>
      <c r="M78" t="s">
        <v>33</v>
      </c>
      <c r="N78" t="s">
        <v>71</v>
      </c>
      <c r="O78" t="s">
        <v>67</v>
      </c>
      <c r="P78" t="s">
        <v>68</v>
      </c>
      <c r="Q78" t="s">
        <v>69</v>
      </c>
      <c r="R78">
        <v>99999</v>
      </c>
      <c r="S78" t="s">
        <v>30</v>
      </c>
      <c r="T78" t="s">
        <v>35</v>
      </c>
      <c r="U78" t="s">
        <v>72</v>
      </c>
      <c r="V78" t="s">
        <v>73</v>
      </c>
      <c r="W78">
        <v>12.75</v>
      </c>
      <c r="X78">
        <v>35</v>
      </c>
      <c r="Y78" s="4">
        <v>446.25</v>
      </c>
      <c r="Z78" s="3">
        <v>45.963750000000005</v>
      </c>
    </row>
    <row r="79" spans="1:26" hidden="1" x14ac:dyDescent="0.35">
      <c r="A79">
        <v>1087</v>
      </c>
      <c r="B79" s="2">
        <v>41732</v>
      </c>
      <c r="C79">
        <v>3</v>
      </c>
      <c r="D79" t="s">
        <v>74</v>
      </c>
      <c r="E79" t="s">
        <v>75</v>
      </c>
      <c r="F79" t="s">
        <v>76</v>
      </c>
      <c r="G79" t="s">
        <v>77</v>
      </c>
      <c r="H79">
        <v>99999</v>
      </c>
      <c r="I79" t="s">
        <v>30</v>
      </c>
      <c r="J79" t="s">
        <v>31</v>
      </c>
      <c r="K79" t="s">
        <v>32</v>
      </c>
      <c r="L79">
        <v>41734</v>
      </c>
      <c r="M79" t="s">
        <v>33</v>
      </c>
      <c r="N79" t="s">
        <v>78</v>
      </c>
      <c r="O79" t="s">
        <v>75</v>
      </c>
      <c r="P79" t="s">
        <v>76</v>
      </c>
      <c r="Q79" t="s">
        <v>77</v>
      </c>
      <c r="R79">
        <v>99999</v>
      </c>
      <c r="S79" t="s">
        <v>30</v>
      </c>
      <c r="T79" t="s">
        <v>79</v>
      </c>
      <c r="U79" t="s">
        <v>80</v>
      </c>
      <c r="V79" t="s">
        <v>81</v>
      </c>
      <c r="W79">
        <v>9.65</v>
      </c>
      <c r="X79">
        <v>95</v>
      </c>
      <c r="Y79" s="4">
        <v>916.75</v>
      </c>
      <c r="Z79" s="3">
        <v>91.675000000000011</v>
      </c>
    </row>
    <row r="80" spans="1:26" hidden="1" x14ac:dyDescent="0.35">
      <c r="A80">
        <v>1088</v>
      </c>
      <c r="B80" s="2">
        <v>41735</v>
      </c>
      <c r="C80">
        <v>6</v>
      </c>
      <c r="D80" t="s">
        <v>82</v>
      </c>
      <c r="E80" t="s">
        <v>83</v>
      </c>
      <c r="F80" t="s">
        <v>84</v>
      </c>
      <c r="G80" t="s">
        <v>85</v>
      </c>
      <c r="H80">
        <v>99999</v>
      </c>
      <c r="I80" t="s">
        <v>30</v>
      </c>
      <c r="J80" t="s">
        <v>86</v>
      </c>
      <c r="K80" t="s">
        <v>61</v>
      </c>
      <c r="L80">
        <v>41737</v>
      </c>
      <c r="M80" t="s">
        <v>33</v>
      </c>
      <c r="N80" t="s">
        <v>87</v>
      </c>
      <c r="O80" t="s">
        <v>83</v>
      </c>
      <c r="P80" t="s">
        <v>84</v>
      </c>
      <c r="Q80" t="s">
        <v>85</v>
      </c>
      <c r="R80">
        <v>99999</v>
      </c>
      <c r="S80" t="s">
        <v>30</v>
      </c>
      <c r="T80" t="s">
        <v>48</v>
      </c>
      <c r="U80" t="s">
        <v>88</v>
      </c>
      <c r="V80" t="s">
        <v>89</v>
      </c>
      <c r="W80">
        <v>40</v>
      </c>
      <c r="X80">
        <v>17</v>
      </c>
      <c r="Y80" s="4">
        <v>680</v>
      </c>
      <c r="Z80" s="3">
        <v>68.680000000000007</v>
      </c>
    </row>
    <row r="81" spans="1:26" hidden="1" x14ac:dyDescent="0.35">
      <c r="A81">
        <v>1089</v>
      </c>
      <c r="B81" s="2">
        <v>41757</v>
      </c>
      <c r="C81">
        <v>28</v>
      </c>
      <c r="D81" t="s">
        <v>90</v>
      </c>
      <c r="E81" t="s">
        <v>91</v>
      </c>
      <c r="F81" t="s">
        <v>92</v>
      </c>
      <c r="G81" t="s">
        <v>93</v>
      </c>
      <c r="H81">
        <v>99999</v>
      </c>
      <c r="I81" t="s">
        <v>30</v>
      </c>
      <c r="J81" t="s">
        <v>94</v>
      </c>
      <c r="K81" t="s">
        <v>95</v>
      </c>
      <c r="L81" s="2">
        <v>41759</v>
      </c>
      <c r="M81" t="s">
        <v>62</v>
      </c>
      <c r="N81" t="s">
        <v>96</v>
      </c>
      <c r="O81" t="s">
        <v>91</v>
      </c>
      <c r="P81" t="s">
        <v>92</v>
      </c>
      <c r="Q81" t="s">
        <v>93</v>
      </c>
      <c r="R81">
        <v>99999</v>
      </c>
      <c r="S81" t="s">
        <v>30</v>
      </c>
      <c r="T81" t="s">
        <v>35</v>
      </c>
      <c r="U81" t="s">
        <v>55</v>
      </c>
      <c r="V81" t="s">
        <v>37</v>
      </c>
      <c r="W81">
        <v>46</v>
      </c>
      <c r="X81">
        <v>96</v>
      </c>
      <c r="Y81" s="4">
        <v>4416</v>
      </c>
      <c r="Z81" s="3">
        <v>463.68000000000006</v>
      </c>
    </row>
    <row r="82" spans="1:26" hidden="1" x14ac:dyDescent="0.35">
      <c r="A82">
        <v>1090</v>
      </c>
      <c r="B82" s="2">
        <v>41737</v>
      </c>
      <c r="C82">
        <v>8</v>
      </c>
      <c r="D82" t="s">
        <v>56</v>
      </c>
      <c r="E82" t="s">
        <v>57</v>
      </c>
      <c r="F82" t="s">
        <v>58</v>
      </c>
      <c r="G82" t="s">
        <v>59</v>
      </c>
      <c r="H82">
        <v>99999</v>
      </c>
      <c r="I82" t="s">
        <v>30</v>
      </c>
      <c r="J82" t="s">
        <v>60</v>
      </c>
      <c r="K82" t="s">
        <v>61</v>
      </c>
      <c r="L82" s="2">
        <v>41739</v>
      </c>
      <c r="M82" t="s">
        <v>62</v>
      </c>
      <c r="N82" t="s">
        <v>63</v>
      </c>
      <c r="O82" t="s">
        <v>57</v>
      </c>
      <c r="P82" t="s">
        <v>58</v>
      </c>
      <c r="Q82" t="s">
        <v>59</v>
      </c>
      <c r="R82">
        <v>99999</v>
      </c>
      <c r="S82" t="s">
        <v>30</v>
      </c>
      <c r="T82" t="s">
        <v>35</v>
      </c>
      <c r="U82" t="s">
        <v>72</v>
      </c>
      <c r="V82" t="s">
        <v>73</v>
      </c>
      <c r="W82" s="3">
        <v>12.75</v>
      </c>
      <c r="X82">
        <v>83</v>
      </c>
      <c r="Y82" s="4">
        <v>1058.25</v>
      </c>
      <c r="Z82" s="3">
        <v>102.65025</v>
      </c>
    </row>
    <row r="83" spans="1:26" hidden="1" x14ac:dyDescent="0.35">
      <c r="A83">
        <v>1091</v>
      </c>
      <c r="B83" s="2">
        <v>41739</v>
      </c>
      <c r="C83">
        <v>10</v>
      </c>
      <c r="D83" t="s">
        <v>97</v>
      </c>
      <c r="E83" t="s">
        <v>98</v>
      </c>
      <c r="F83" t="s">
        <v>99</v>
      </c>
      <c r="G83" t="s">
        <v>100</v>
      </c>
      <c r="H83">
        <v>99999</v>
      </c>
      <c r="I83" t="s">
        <v>30</v>
      </c>
      <c r="J83" t="s">
        <v>101</v>
      </c>
      <c r="K83" t="s">
        <v>45</v>
      </c>
      <c r="L83" s="2">
        <v>41741</v>
      </c>
      <c r="M83" t="s">
        <v>33</v>
      </c>
      <c r="N83" t="s">
        <v>102</v>
      </c>
      <c r="O83" t="s">
        <v>98</v>
      </c>
      <c r="P83" t="s">
        <v>99</v>
      </c>
      <c r="Q83" t="s">
        <v>100</v>
      </c>
      <c r="R83">
        <v>99999</v>
      </c>
      <c r="S83" t="s">
        <v>30</v>
      </c>
      <c r="T83" t="s">
        <v>48</v>
      </c>
      <c r="U83" t="s">
        <v>103</v>
      </c>
      <c r="V83" t="s">
        <v>37</v>
      </c>
      <c r="W83" s="3">
        <v>2.99</v>
      </c>
      <c r="X83">
        <v>88</v>
      </c>
      <c r="Y83" s="4">
        <v>263.12</v>
      </c>
      <c r="Z83" s="3">
        <v>26.04888</v>
      </c>
    </row>
    <row r="84" spans="1:26" hidden="1" x14ac:dyDescent="0.35">
      <c r="A84">
        <v>1092</v>
      </c>
      <c r="B84" s="2">
        <v>41736</v>
      </c>
      <c r="C84">
        <v>7</v>
      </c>
      <c r="D84" t="s">
        <v>104</v>
      </c>
      <c r="E84" t="s">
        <v>105</v>
      </c>
      <c r="F84" t="s">
        <v>106</v>
      </c>
      <c r="G84" t="s">
        <v>107</v>
      </c>
      <c r="H84">
        <v>99999</v>
      </c>
      <c r="I84" t="s">
        <v>30</v>
      </c>
      <c r="J84" t="s">
        <v>60</v>
      </c>
      <c r="K84" t="s">
        <v>61</v>
      </c>
      <c r="L84" s="2"/>
      <c r="N84" t="s">
        <v>108</v>
      </c>
      <c r="O84" t="s">
        <v>105</v>
      </c>
      <c r="P84" t="s">
        <v>106</v>
      </c>
      <c r="Q84" t="s">
        <v>107</v>
      </c>
      <c r="R84">
        <v>99999</v>
      </c>
      <c r="S84" t="s">
        <v>30</v>
      </c>
      <c r="U84" t="s">
        <v>55</v>
      </c>
      <c r="V84" t="s">
        <v>37</v>
      </c>
      <c r="W84" s="3">
        <v>46</v>
      </c>
      <c r="X84">
        <v>59</v>
      </c>
      <c r="Y84" s="4">
        <v>2714</v>
      </c>
      <c r="Z84" s="3">
        <v>284.97000000000003</v>
      </c>
    </row>
    <row r="85" spans="1:26" hidden="1" x14ac:dyDescent="0.35">
      <c r="A85">
        <v>1093</v>
      </c>
      <c r="B85" s="2">
        <v>41739</v>
      </c>
      <c r="C85">
        <v>10</v>
      </c>
      <c r="D85" t="s">
        <v>97</v>
      </c>
      <c r="E85" t="s">
        <v>98</v>
      </c>
      <c r="F85" t="s">
        <v>99</v>
      </c>
      <c r="G85" t="s">
        <v>100</v>
      </c>
      <c r="H85">
        <v>99999</v>
      </c>
      <c r="I85" t="s">
        <v>30</v>
      </c>
      <c r="J85" t="s">
        <v>101</v>
      </c>
      <c r="K85" t="s">
        <v>45</v>
      </c>
      <c r="L85" s="2">
        <v>41741</v>
      </c>
      <c r="M85" t="s">
        <v>46</v>
      </c>
      <c r="N85" t="s">
        <v>102</v>
      </c>
      <c r="O85" t="s">
        <v>98</v>
      </c>
      <c r="P85" t="s">
        <v>99</v>
      </c>
      <c r="Q85" t="s">
        <v>100</v>
      </c>
      <c r="R85">
        <v>99999</v>
      </c>
      <c r="S85" t="s">
        <v>30</v>
      </c>
      <c r="U85" t="s">
        <v>109</v>
      </c>
      <c r="V85" t="s">
        <v>110</v>
      </c>
      <c r="W85" s="3">
        <v>25</v>
      </c>
      <c r="X85">
        <v>27</v>
      </c>
      <c r="Y85" s="4">
        <v>675</v>
      </c>
      <c r="Z85" s="3">
        <v>68.849999999999994</v>
      </c>
    </row>
    <row r="86" spans="1:26" hidden="1" x14ac:dyDescent="0.35">
      <c r="A86">
        <v>1094</v>
      </c>
      <c r="B86" s="2">
        <v>41739</v>
      </c>
      <c r="C86">
        <v>10</v>
      </c>
      <c r="D86" t="s">
        <v>97</v>
      </c>
      <c r="E86" t="s">
        <v>98</v>
      </c>
      <c r="F86" t="s">
        <v>99</v>
      </c>
      <c r="G86" t="s">
        <v>100</v>
      </c>
      <c r="H86">
        <v>99999</v>
      </c>
      <c r="I86" t="s">
        <v>30</v>
      </c>
      <c r="J86" t="s">
        <v>101</v>
      </c>
      <c r="K86" t="s">
        <v>45</v>
      </c>
      <c r="L86" s="2">
        <v>41741</v>
      </c>
      <c r="M86" t="s">
        <v>46</v>
      </c>
      <c r="N86" t="s">
        <v>102</v>
      </c>
      <c r="O86" t="s">
        <v>98</v>
      </c>
      <c r="P86" t="s">
        <v>99</v>
      </c>
      <c r="Q86" t="s">
        <v>100</v>
      </c>
      <c r="R86">
        <v>99999</v>
      </c>
      <c r="S86" t="s">
        <v>30</v>
      </c>
      <c r="U86" t="s">
        <v>111</v>
      </c>
      <c r="V86" t="s">
        <v>112</v>
      </c>
      <c r="W86" s="3">
        <v>22</v>
      </c>
      <c r="X86">
        <v>37</v>
      </c>
      <c r="Y86" s="4">
        <v>814</v>
      </c>
      <c r="Z86" s="3">
        <v>85.470000000000013</v>
      </c>
    </row>
    <row r="87" spans="1:26" hidden="1" x14ac:dyDescent="0.35">
      <c r="A87">
        <v>1095</v>
      </c>
      <c r="B87" s="2">
        <v>41739</v>
      </c>
      <c r="C87">
        <v>10</v>
      </c>
      <c r="D87" t="s">
        <v>97</v>
      </c>
      <c r="E87" t="s">
        <v>98</v>
      </c>
      <c r="F87" t="s">
        <v>99</v>
      </c>
      <c r="G87" t="s">
        <v>100</v>
      </c>
      <c r="H87">
        <v>99999</v>
      </c>
      <c r="I87" t="s">
        <v>30</v>
      </c>
      <c r="J87" t="s">
        <v>101</v>
      </c>
      <c r="K87" t="s">
        <v>45</v>
      </c>
      <c r="L87" s="2">
        <v>41741</v>
      </c>
      <c r="M87" t="s">
        <v>46</v>
      </c>
      <c r="N87" t="s">
        <v>102</v>
      </c>
      <c r="O87" t="s">
        <v>98</v>
      </c>
      <c r="P87" t="s">
        <v>99</v>
      </c>
      <c r="Q87" t="s">
        <v>100</v>
      </c>
      <c r="R87">
        <v>99999</v>
      </c>
      <c r="S87" t="s">
        <v>30</v>
      </c>
      <c r="U87" t="s">
        <v>64</v>
      </c>
      <c r="V87" t="s">
        <v>65</v>
      </c>
      <c r="W87" s="3">
        <v>9.1999999999999993</v>
      </c>
      <c r="X87">
        <v>75</v>
      </c>
      <c r="Y87" s="4">
        <v>690</v>
      </c>
      <c r="Z87" s="3">
        <v>69</v>
      </c>
    </row>
    <row r="88" spans="1:26" hidden="1" x14ac:dyDescent="0.35">
      <c r="A88">
        <v>1096</v>
      </c>
      <c r="B88" s="2">
        <v>41740</v>
      </c>
      <c r="C88">
        <v>11</v>
      </c>
      <c r="D88" t="s">
        <v>113</v>
      </c>
      <c r="E88" t="s">
        <v>114</v>
      </c>
      <c r="F88" t="s">
        <v>115</v>
      </c>
      <c r="G88" t="s">
        <v>116</v>
      </c>
      <c r="H88">
        <v>99999</v>
      </c>
      <c r="I88" t="s">
        <v>30</v>
      </c>
      <c r="J88" t="s">
        <v>94</v>
      </c>
      <c r="K88" t="s">
        <v>95</v>
      </c>
      <c r="L88" s="2"/>
      <c r="M88" t="s">
        <v>62</v>
      </c>
      <c r="N88" t="s">
        <v>117</v>
      </c>
      <c r="O88" t="s">
        <v>114</v>
      </c>
      <c r="P88" t="s">
        <v>115</v>
      </c>
      <c r="Q88" t="s">
        <v>116</v>
      </c>
      <c r="R88">
        <v>99999</v>
      </c>
      <c r="S88" t="s">
        <v>30</v>
      </c>
      <c r="U88" t="s">
        <v>38</v>
      </c>
      <c r="V88" t="s">
        <v>39</v>
      </c>
      <c r="W88" s="3">
        <v>3.5</v>
      </c>
      <c r="X88">
        <v>71</v>
      </c>
      <c r="Y88" s="4">
        <v>248.5</v>
      </c>
      <c r="Z88" s="3">
        <v>24.104500000000002</v>
      </c>
    </row>
    <row r="89" spans="1:26" hidden="1" x14ac:dyDescent="0.35">
      <c r="A89">
        <v>1097</v>
      </c>
      <c r="B89" s="2">
        <v>41740</v>
      </c>
      <c r="C89">
        <v>11</v>
      </c>
      <c r="D89" t="s">
        <v>113</v>
      </c>
      <c r="E89" t="s">
        <v>114</v>
      </c>
      <c r="F89" t="s">
        <v>115</v>
      </c>
      <c r="G89" t="s">
        <v>116</v>
      </c>
      <c r="H89">
        <v>99999</v>
      </c>
      <c r="I89" t="s">
        <v>30</v>
      </c>
      <c r="J89" t="s">
        <v>94</v>
      </c>
      <c r="K89" t="s">
        <v>95</v>
      </c>
      <c r="L89" s="2"/>
      <c r="M89" t="s">
        <v>62</v>
      </c>
      <c r="N89" t="s">
        <v>117</v>
      </c>
      <c r="O89" t="s">
        <v>114</v>
      </c>
      <c r="P89" t="s">
        <v>115</v>
      </c>
      <c r="Q89" t="s">
        <v>116</v>
      </c>
      <c r="R89">
        <v>99999</v>
      </c>
      <c r="S89" t="s">
        <v>30</v>
      </c>
      <c r="U89" t="s">
        <v>103</v>
      </c>
      <c r="V89" t="s">
        <v>37</v>
      </c>
      <c r="W89" s="3">
        <v>2.99</v>
      </c>
      <c r="X89">
        <v>88</v>
      </c>
      <c r="Y89" s="4">
        <v>263.12</v>
      </c>
      <c r="Z89" s="3">
        <v>26.04888</v>
      </c>
    </row>
    <row r="90" spans="1:26" hidden="1" x14ac:dyDescent="0.35">
      <c r="A90">
        <v>1098</v>
      </c>
      <c r="B90" s="2">
        <v>41730</v>
      </c>
      <c r="C90">
        <v>1</v>
      </c>
      <c r="D90" t="s">
        <v>118</v>
      </c>
      <c r="E90" t="s">
        <v>119</v>
      </c>
      <c r="F90" t="s">
        <v>120</v>
      </c>
      <c r="G90" t="s">
        <v>121</v>
      </c>
      <c r="H90">
        <v>99999</v>
      </c>
      <c r="I90" t="s">
        <v>30</v>
      </c>
      <c r="J90" t="s">
        <v>60</v>
      </c>
      <c r="K90" t="s">
        <v>61</v>
      </c>
      <c r="L90" s="2"/>
      <c r="N90" t="s">
        <v>122</v>
      </c>
      <c r="O90" t="s">
        <v>119</v>
      </c>
      <c r="P90" t="s">
        <v>120</v>
      </c>
      <c r="Q90" t="s">
        <v>121</v>
      </c>
      <c r="R90">
        <v>99999</v>
      </c>
      <c r="S90" t="s">
        <v>30</v>
      </c>
      <c r="U90" t="s">
        <v>54</v>
      </c>
      <c r="V90" t="s">
        <v>37</v>
      </c>
      <c r="W90" s="3">
        <v>18</v>
      </c>
      <c r="X90">
        <v>55</v>
      </c>
      <c r="Y90" s="4">
        <v>990</v>
      </c>
      <c r="Z90" s="3">
        <v>97.02</v>
      </c>
    </row>
    <row r="91" spans="1:26" hidden="1" x14ac:dyDescent="0.35">
      <c r="A91">
        <v>1099</v>
      </c>
      <c r="B91" s="2">
        <v>41788</v>
      </c>
      <c r="C91">
        <v>29</v>
      </c>
      <c r="D91" t="s">
        <v>66</v>
      </c>
      <c r="E91" t="s">
        <v>67</v>
      </c>
      <c r="F91" t="s">
        <v>68</v>
      </c>
      <c r="G91" t="s">
        <v>69</v>
      </c>
      <c r="H91">
        <v>99999</v>
      </c>
      <c r="I91" t="s">
        <v>30</v>
      </c>
      <c r="J91" t="s">
        <v>70</v>
      </c>
      <c r="K91" t="s">
        <v>32</v>
      </c>
      <c r="L91" s="2">
        <v>41790</v>
      </c>
      <c r="M91" t="s">
        <v>33</v>
      </c>
      <c r="N91" t="s">
        <v>71</v>
      </c>
      <c r="O91" t="s">
        <v>67</v>
      </c>
      <c r="P91" t="s">
        <v>68</v>
      </c>
      <c r="Q91" t="s">
        <v>69</v>
      </c>
      <c r="R91">
        <v>99999</v>
      </c>
      <c r="S91" t="s">
        <v>30</v>
      </c>
      <c r="T91" t="s">
        <v>35</v>
      </c>
      <c r="U91" t="s">
        <v>72</v>
      </c>
      <c r="V91" t="s">
        <v>73</v>
      </c>
      <c r="W91" s="3">
        <v>12.75</v>
      </c>
      <c r="X91">
        <v>14</v>
      </c>
      <c r="Y91" s="4">
        <v>178.5</v>
      </c>
      <c r="Z91" s="3">
        <v>16.9575</v>
      </c>
    </row>
    <row r="92" spans="1:26" hidden="1" x14ac:dyDescent="0.35">
      <c r="A92">
        <v>1100</v>
      </c>
      <c r="B92" s="2">
        <v>41762</v>
      </c>
      <c r="C92">
        <v>3</v>
      </c>
      <c r="D92" t="s">
        <v>74</v>
      </c>
      <c r="E92" t="s">
        <v>75</v>
      </c>
      <c r="F92" t="s">
        <v>76</v>
      </c>
      <c r="G92" t="s">
        <v>77</v>
      </c>
      <c r="H92">
        <v>99999</v>
      </c>
      <c r="I92" t="s">
        <v>30</v>
      </c>
      <c r="J92" t="s">
        <v>31</v>
      </c>
      <c r="K92" t="s">
        <v>32</v>
      </c>
      <c r="L92" s="2">
        <v>41764</v>
      </c>
      <c r="M92" t="s">
        <v>33</v>
      </c>
      <c r="N92" t="s">
        <v>78</v>
      </c>
      <c r="O92" t="s">
        <v>75</v>
      </c>
      <c r="P92" t="s">
        <v>76</v>
      </c>
      <c r="Q92" t="s">
        <v>77</v>
      </c>
      <c r="R92">
        <v>99999</v>
      </c>
      <c r="S92" t="s">
        <v>30</v>
      </c>
      <c r="T92" t="s">
        <v>79</v>
      </c>
      <c r="U92" t="s">
        <v>80</v>
      </c>
      <c r="V92" t="s">
        <v>81</v>
      </c>
      <c r="W92" s="3">
        <v>9.65</v>
      </c>
      <c r="X92">
        <v>43</v>
      </c>
      <c r="Y92" s="4">
        <v>414.95</v>
      </c>
      <c r="Z92" s="3">
        <v>42.324900000000007</v>
      </c>
    </row>
    <row r="93" spans="1:26" hidden="1" x14ac:dyDescent="0.35">
      <c r="A93">
        <v>1101</v>
      </c>
      <c r="B93" s="2">
        <v>41765</v>
      </c>
      <c r="C93">
        <v>6</v>
      </c>
      <c r="D93" t="s">
        <v>82</v>
      </c>
      <c r="E93" t="s">
        <v>83</v>
      </c>
      <c r="F93" t="s">
        <v>84</v>
      </c>
      <c r="G93" t="s">
        <v>85</v>
      </c>
      <c r="H93">
        <v>99999</v>
      </c>
      <c r="I93" t="s">
        <v>30</v>
      </c>
      <c r="J93" t="s">
        <v>86</v>
      </c>
      <c r="K93" t="s">
        <v>61</v>
      </c>
      <c r="L93">
        <v>41767</v>
      </c>
      <c r="M93" t="s">
        <v>33</v>
      </c>
      <c r="N93" t="s">
        <v>87</v>
      </c>
      <c r="O93" t="s">
        <v>83</v>
      </c>
      <c r="P93" t="s">
        <v>84</v>
      </c>
      <c r="Q93" t="s">
        <v>85</v>
      </c>
      <c r="R93">
        <v>99999</v>
      </c>
      <c r="S93" t="s">
        <v>30</v>
      </c>
      <c r="T93" t="s">
        <v>48</v>
      </c>
      <c r="U93" t="s">
        <v>88</v>
      </c>
      <c r="V93" t="s">
        <v>89</v>
      </c>
      <c r="W93" s="3">
        <v>40</v>
      </c>
      <c r="X93">
        <v>63</v>
      </c>
      <c r="Y93" s="4">
        <v>2520</v>
      </c>
      <c r="Z93" s="3">
        <v>254.52</v>
      </c>
    </row>
    <row r="94" spans="1:26" hidden="1" x14ac:dyDescent="0.35">
      <c r="A94">
        <v>1102</v>
      </c>
      <c r="B94" s="2">
        <v>41787</v>
      </c>
      <c r="C94">
        <v>28</v>
      </c>
      <c r="D94" t="s">
        <v>90</v>
      </c>
      <c r="E94" t="s">
        <v>91</v>
      </c>
      <c r="F94" t="s">
        <v>92</v>
      </c>
      <c r="G94" t="s">
        <v>93</v>
      </c>
      <c r="H94">
        <v>99999</v>
      </c>
      <c r="I94" t="s">
        <v>30</v>
      </c>
      <c r="J94" t="s">
        <v>94</v>
      </c>
      <c r="K94" t="s">
        <v>95</v>
      </c>
      <c r="L94" s="2">
        <v>41789</v>
      </c>
      <c r="M94" t="s">
        <v>62</v>
      </c>
      <c r="N94" t="s">
        <v>96</v>
      </c>
      <c r="O94" t="s">
        <v>91</v>
      </c>
      <c r="P94" t="s">
        <v>92</v>
      </c>
      <c r="Q94" t="s">
        <v>93</v>
      </c>
      <c r="R94">
        <v>99999</v>
      </c>
      <c r="S94" t="s">
        <v>30</v>
      </c>
      <c r="T94" t="s">
        <v>35</v>
      </c>
      <c r="U94" t="s">
        <v>55</v>
      </c>
      <c r="V94" t="s">
        <v>37</v>
      </c>
      <c r="W94" s="3">
        <v>46</v>
      </c>
      <c r="X94">
        <v>36</v>
      </c>
      <c r="Y94" s="4">
        <v>1656</v>
      </c>
      <c r="Z94" s="3">
        <v>165.60000000000002</v>
      </c>
    </row>
    <row r="95" spans="1:26" hidden="1" x14ac:dyDescent="0.35">
      <c r="A95">
        <v>1103</v>
      </c>
      <c r="B95" s="2">
        <v>41767</v>
      </c>
      <c r="C95">
        <v>8</v>
      </c>
      <c r="D95" t="s">
        <v>56</v>
      </c>
      <c r="E95" t="s">
        <v>57</v>
      </c>
      <c r="F95" t="s">
        <v>58</v>
      </c>
      <c r="G95" t="s">
        <v>59</v>
      </c>
      <c r="H95">
        <v>99999</v>
      </c>
      <c r="I95" t="s">
        <v>30</v>
      </c>
      <c r="J95" t="s">
        <v>60</v>
      </c>
      <c r="K95" t="s">
        <v>61</v>
      </c>
      <c r="L95" s="2">
        <v>41769</v>
      </c>
      <c r="M95" t="s">
        <v>62</v>
      </c>
      <c r="N95" t="s">
        <v>63</v>
      </c>
      <c r="O95" t="s">
        <v>57</v>
      </c>
      <c r="P95" t="s">
        <v>58</v>
      </c>
      <c r="Q95" t="s">
        <v>59</v>
      </c>
      <c r="R95">
        <v>99999</v>
      </c>
      <c r="S95" t="s">
        <v>30</v>
      </c>
      <c r="T95" t="s">
        <v>35</v>
      </c>
      <c r="U95" t="s">
        <v>72</v>
      </c>
      <c r="V95" t="s">
        <v>73</v>
      </c>
      <c r="W95" s="3">
        <v>12.75</v>
      </c>
      <c r="X95">
        <v>41</v>
      </c>
      <c r="Y95" s="4">
        <v>522.75</v>
      </c>
      <c r="Z95" s="3">
        <v>54.366000000000007</v>
      </c>
    </row>
    <row r="96" spans="1:26" hidden="1" x14ac:dyDescent="0.35">
      <c r="A96">
        <v>1104</v>
      </c>
      <c r="B96" s="2">
        <v>41769</v>
      </c>
      <c r="C96">
        <v>10</v>
      </c>
      <c r="D96" t="s">
        <v>97</v>
      </c>
      <c r="E96" t="s">
        <v>98</v>
      </c>
      <c r="F96" t="s">
        <v>99</v>
      </c>
      <c r="G96" t="s">
        <v>100</v>
      </c>
      <c r="H96">
        <v>99999</v>
      </c>
      <c r="I96" t="s">
        <v>30</v>
      </c>
      <c r="J96" t="s">
        <v>101</v>
      </c>
      <c r="K96" t="s">
        <v>45</v>
      </c>
      <c r="L96" s="2">
        <v>41771</v>
      </c>
      <c r="M96" t="s">
        <v>33</v>
      </c>
      <c r="N96" t="s">
        <v>102</v>
      </c>
      <c r="O96" t="s">
        <v>98</v>
      </c>
      <c r="P96" t="s">
        <v>99</v>
      </c>
      <c r="Q96" t="s">
        <v>100</v>
      </c>
      <c r="R96">
        <v>99999</v>
      </c>
      <c r="S96" t="s">
        <v>30</v>
      </c>
      <c r="T96" t="s">
        <v>48</v>
      </c>
      <c r="U96" t="s">
        <v>103</v>
      </c>
      <c r="V96" t="s">
        <v>37</v>
      </c>
      <c r="W96" s="3">
        <v>2.99</v>
      </c>
      <c r="X96">
        <v>35</v>
      </c>
      <c r="Y96" s="4">
        <v>104.65</v>
      </c>
      <c r="Z96" s="3">
        <v>10.255700000000001</v>
      </c>
    </row>
    <row r="97" spans="1:26" hidden="1" x14ac:dyDescent="0.35">
      <c r="A97">
        <v>1105</v>
      </c>
      <c r="B97" s="2">
        <v>41766</v>
      </c>
      <c r="C97">
        <v>7</v>
      </c>
      <c r="D97" t="s">
        <v>104</v>
      </c>
      <c r="E97" t="s">
        <v>105</v>
      </c>
      <c r="F97" t="s">
        <v>106</v>
      </c>
      <c r="G97" t="s">
        <v>107</v>
      </c>
      <c r="H97">
        <v>99999</v>
      </c>
      <c r="I97" t="s">
        <v>30</v>
      </c>
      <c r="J97" t="s">
        <v>60</v>
      </c>
      <c r="K97" t="s">
        <v>61</v>
      </c>
      <c r="N97" t="s">
        <v>108</v>
      </c>
      <c r="O97" t="s">
        <v>105</v>
      </c>
      <c r="P97" t="s">
        <v>106</v>
      </c>
      <c r="Q97" t="s">
        <v>107</v>
      </c>
      <c r="R97">
        <v>99999</v>
      </c>
      <c r="S97" t="s">
        <v>30</v>
      </c>
      <c r="U97" t="s">
        <v>55</v>
      </c>
      <c r="V97" t="s">
        <v>37</v>
      </c>
      <c r="W97" s="3">
        <v>46</v>
      </c>
      <c r="X97">
        <v>31</v>
      </c>
      <c r="Y97" s="4">
        <v>1426</v>
      </c>
      <c r="Z97" s="3">
        <v>136.89599999999999</v>
      </c>
    </row>
    <row r="98" spans="1:26" hidden="1" x14ac:dyDescent="0.35">
      <c r="A98">
        <v>1106</v>
      </c>
      <c r="B98" s="2">
        <v>41769</v>
      </c>
      <c r="C98">
        <v>10</v>
      </c>
      <c r="D98" t="s">
        <v>97</v>
      </c>
      <c r="E98" t="s">
        <v>98</v>
      </c>
      <c r="F98" t="s">
        <v>99</v>
      </c>
      <c r="G98" t="s">
        <v>100</v>
      </c>
      <c r="H98">
        <v>99999</v>
      </c>
      <c r="I98" t="s">
        <v>30</v>
      </c>
      <c r="J98" t="s">
        <v>101</v>
      </c>
      <c r="K98" t="s">
        <v>45</v>
      </c>
      <c r="L98">
        <v>41771</v>
      </c>
      <c r="M98" t="s">
        <v>46</v>
      </c>
      <c r="N98" t="s">
        <v>102</v>
      </c>
      <c r="O98" t="s">
        <v>98</v>
      </c>
      <c r="P98" t="s">
        <v>99</v>
      </c>
      <c r="Q98" t="s">
        <v>100</v>
      </c>
      <c r="R98">
        <v>99999</v>
      </c>
      <c r="S98" t="s">
        <v>30</v>
      </c>
      <c r="U98" t="s">
        <v>109</v>
      </c>
      <c r="V98" t="s">
        <v>110</v>
      </c>
      <c r="W98" s="3">
        <v>25</v>
      </c>
      <c r="X98">
        <v>52</v>
      </c>
      <c r="Y98" s="4">
        <v>1300</v>
      </c>
      <c r="Z98" s="3">
        <v>123.5</v>
      </c>
    </row>
    <row r="99" spans="1:26" hidden="1" x14ac:dyDescent="0.35">
      <c r="A99">
        <v>1107</v>
      </c>
      <c r="B99" s="2">
        <v>41769</v>
      </c>
      <c r="C99">
        <v>10</v>
      </c>
      <c r="D99" t="s">
        <v>97</v>
      </c>
      <c r="E99" t="s">
        <v>98</v>
      </c>
      <c r="F99" t="s">
        <v>99</v>
      </c>
      <c r="G99" t="s">
        <v>100</v>
      </c>
      <c r="H99">
        <v>99999</v>
      </c>
      <c r="I99" t="s">
        <v>30</v>
      </c>
      <c r="J99" t="s">
        <v>101</v>
      </c>
      <c r="K99" t="s">
        <v>45</v>
      </c>
      <c r="L99">
        <v>41771</v>
      </c>
      <c r="M99" t="s">
        <v>46</v>
      </c>
      <c r="N99" t="s">
        <v>102</v>
      </c>
      <c r="O99" t="s">
        <v>98</v>
      </c>
      <c r="P99" t="s">
        <v>99</v>
      </c>
      <c r="Q99" t="s">
        <v>100</v>
      </c>
      <c r="R99">
        <v>99999</v>
      </c>
      <c r="S99" t="s">
        <v>30</v>
      </c>
      <c r="U99" t="s">
        <v>111</v>
      </c>
      <c r="V99" t="s">
        <v>112</v>
      </c>
      <c r="W99" s="3">
        <v>22</v>
      </c>
      <c r="X99">
        <v>30</v>
      </c>
      <c r="Y99" s="4">
        <v>660</v>
      </c>
      <c r="Z99" s="3">
        <v>67.320000000000007</v>
      </c>
    </row>
    <row r="100" spans="1:26" hidden="1" x14ac:dyDescent="0.35">
      <c r="A100">
        <v>1108</v>
      </c>
      <c r="B100" s="2">
        <v>41769</v>
      </c>
      <c r="C100">
        <v>10</v>
      </c>
      <c r="D100" t="s">
        <v>97</v>
      </c>
      <c r="E100" t="s">
        <v>98</v>
      </c>
      <c r="F100" t="s">
        <v>99</v>
      </c>
      <c r="G100" t="s">
        <v>100</v>
      </c>
      <c r="H100">
        <v>99999</v>
      </c>
      <c r="I100" t="s">
        <v>30</v>
      </c>
      <c r="J100" t="s">
        <v>101</v>
      </c>
      <c r="K100" t="s">
        <v>45</v>
      </c>
      <c r="L100" s="2">
        <v>41771</v>
      </c>
      <c r="M100" t="s">
        <v>46</v>
      </c>
      <c r="N100" t="s">
        <v>102</v>
      </c>
      <c r="O100" t="s">
        <v>98</v>
      </c>
      <c r="P100" t="s">
        <v>99</v>
      </c>
      <c r="Q100" t="s">
        <v>100</v>
      </c>
      <c r="R100">
        <v>99999</v>
      </c>
      <c r="S100" t="s">
        <v>30</v>
      </c>
      <c r="U100" t="s">
        <v>64</v>
      </c>
      <c r="V100" t="s">
        <v>65</v>
      </c>
      <c r="W100" s="3">
        <v>9.1999999999999993</v>
      </c>
      <c r="X100">
        <v>41</v>
      </c>
      <c r="Y100" s="4">
        <v>377.2</v>
      </c>
      <c r="Z100" s="3">
        <v>38.474400000000003</v>
      </c>
    </row>
    <row r="101" spans="1:26" hidden="1" x14ac:dyDescent="0.35">
      <c r="A101">
        <v>1109</v>
      </c>
      <c r="B101" s="2">
        <v>41770</v>
      </c>
      <c r="C101">
        <v>11</v>
      </c>
      <c r="D101" t="s">
        <v>113</v>
      </c>
      <c r="E101" t="s">
        <v>114</v>
      </c>
      <c r="F101" t="s">
        <v>115</v>
      </c>
      <c r="G101" t="s">
        <v>116</v>
      </c>
      <c r="H101">
        <v>99999</v>
      </c>
      <c r="I101" t="s">
        <v>30</v>
      </c>
      <c r="J101" t="s">
        <v>94</v>
      </c>
      <c r="K101" t="s">
        <v>95</v>
      </c>
      <c r="L101" s="2"/>
      <c r="M101" t="s">
        <v>62</v>
      </c>
      <c r="N101" t="s">
        <v>117</v>
      </c>
      <c r="O101" t="s">
        <v>114</v>
      </c>
      <c r="P101" t="s">
        <v>115</v>
      </c>
      <c r="Q101" t="s">
        <v>116</v>
      </c>
      <c r="R101">
        <v>99999</v>
      </c>
      <c r="S101" t="s">
        <v>30</v>
      </c>
      <c r="U101" t="s">
        <v>38</v>
      </c>
      <c r="V101" t="s">
        <v>39</v>
      </c>
      <c r="W101" s="3">
        <v>3.5</v>
      </c>
      <c r="X101">
        <v>44</v>
      </c>
      <c r="Y101" s="4">
        <v>154</v>
      </c>
      <c r="Z101" s="3">
        <v>15.246</v>
      </c>
    </row>
    <row r="102" spans="1:26" hidden="1" x14ac:dyDescent="0.35">
      <c r="A102">
        <v>1110</v>
      </c>
      <c r="B102" s="2">
        <v>41770</v>
      </c>
      <c r="C102">
        <v>11</v>
      </c>
      <c r="D102" t="s">
        <v>113</v>
      </c>
      <c r="E102" t="s">
        <v>114</v>
      </c>
      <c r="F102" t="s">
        <v>115</v>
      </c>
      <c r="G102" t="s">
        <v>116</v>
      </c>
      <c r="H102">
        <v>99999</v>
      </c>
      <c r="I102" t="s">
        <v>30</v>
      </c>
      <c r="J102" t="s">
        <v>94</v>
      </c>
      <c r="K102" t="s">
        <v>95</v>
      </c>
      <c r="L102" s="2"/>
      <c r="M102" t="s">
        <v>62</v>
      </c>
      <c r="N102" t="s">
        <v>117</v>
      </c>
      <c r="O102" t="s">
        <v>114</v>
      </c>
      <c r="P102" t="s">
        <v>115</v>
      </c>
      <c r="Q102" t="s">
        <v>116</v>
      </c>
      <c r="R102">
        <v>99999</v>
      </c>
      <c r="S102" t="s">
        <v>30</v>
      </c>
      <c r="U102" t="s">
        <v>103</v>
      </c>
      <c r="V102" t="s">
        <v>37</v>
      </c>
      <c r="W102" s="3">
        <v>2.99</v>
      </c>
      <c r="X102">
        <v>77</v>
      </c>
      <c r="Y102" s="4">
        <v>230.23000000000002</v>
      </c>
      <c r="Z102" s="3">
        <v>23.023000000000003</v>
      </c>
    </row>
    <row r="103" spans="1:26" hidden="1" x14ac:dyDescent="0.35">
      <c r="A103">
        <v>1111</v>
      </c>
      <c r="B103" s="2">
        <v>41760</v>
      </c>
      <c r="C103">
        <v>1</v>
      </c>
      <c r="D103" t="s">
        <v>118</v>
      </c>
      <c r="E103" t="s">
        <v>119</v>
      </c>
      <c r="F103" t="s">
        <v>120</v>
      </c>
      <c r="G103" t="s">
        <v>121</v>
      </c>
      <c r="H103">
        <v>99999</v>
      </c>
      <c r="I103" t="s">
        <v>30</v>
      </c>
      <c r="J103" t="s">
        <v>60</v>
      </c>
      <c r="K103" t="s">
        <v>61</v>
      </c>
      <c r="L103" s="2"/>
      <c r="N103" t="s">
        <v>122</v>
      </c>
      <c r="O103" t="s">
        <v>119</v>
      </c>
      <c r="P103" t="s">
        <v>120</v>
      </c>
      <c r="Q103" t="s">
        <v>121</v>
      </c>
      <c r="R103">
        <v>99999</v>
      </c>
      <c r="S103" t="s">
        <v>30</v>
      </c>
      <c r="U103" t="s">
        <v>54</v>
      </c>
      <c r="V103" t="s">
        <v>37</v>
      </c>
      <c r="W103" s="3">
        <v>18</v>
      </c>
      <c r="X103">
        <v>29</v>
      </c>
      <c r="Y103" s="4">
        <v>522</v>
      </c>
      <c r="Z103" s="3">
        <v>52.722000000000001</v>
      </c>
    </row>
    <row r="104" spans="1:26" hidden="1" x14ac:dyDescent="0.35">
      <c r="A104">
        <v>1112</v>
      </c>
      <c r="B104" s="2">
        <v>41760</v>
      </c>
      <c r="C104">
        <v>1</v>
      </c>
      <c r="D104" t="s">
        <v>118</v>
      </c>
      <c r="E104" t="s">
        <v>119</v>
      </c>
      <c r="F104" t="s">
        <v>120</v>
      </c>
      <c r="G104" t="s">
        <v>121</v>
      </c>
      <c r="H104">
        <v>99999</v>
      </c>
      <c r="I104" t="s">
        <v>30</v>
      </c>
      <c r="J104" t="s">
        <v>60</v>
      </c>
      <c r="K104" t="s">
        <v>61</v>
      </c>
      <c r="L104" s="2"/>
      <c r="N104" t="s">
        <v>122</v>
      </c>
      <c r="O104" t="s">
        <v>119</v>
      </c>
      <c r="P104" t="s">
        <v>120</v>
      </c>
      <c r="Q104" t="s">
        <v>121</v>
      </c>
      <c r="R104">
        <v>99999</v>
      </c>
      <c r="S104" t="s">
        <v>30</v>
      </c>
      <c r="U104" t="s">
        <v>55</v>
      </c>
      <c r="V104" t="s">
        <v>37</v>
      </c>
      <c r="W104" s="3">
        <v>46</v>
      </c>
      <c r="X104">
        <v>77</v>
      </c>
      <c r="Y104" s="4">
        <v>3542</v>
      </c>
      <c r="Z104" s="3">
        <v>368.36800000000005</v>
      </c>
    </row>
    <row r="105" spans="1:26" hidden="1" x14ac:dyDescent="0.35">
      <c r="A105">
        <v>1113</v>
      </c>
      <c r="B105" s="2">
        <v>41760</v>
      </c>
      <c r="C105">
        <v>1</v>
      </c>
      <c r="D105" t="s">
        <v>118</v>
      </c>
      <c r="E105" t="s">
        <v>119</v>
      </c>
      <c r="F105" t="s">
        <v>120</v>
      </c>
      <c r="G105" t="s">
        <v>121</v>
      </c>
      <c r="H105">
        <v>99999</v>
      </c>
      <c r="I105" t="s">
        <v>30</v>
      </c>
      <c r="J105" t="s">
        <v>60</v>
      </c>
      <c r="K105" t="s">
        <v>61</v>
      </c>
      <c r="L105" s="2"/>
      <c r="N105" t="s">
        <v>122</v>
      </c>
      <c r="O105" t="s">
        <v>119</v>
      </c>
      <c r="P105" t="s">
        <v>120</v>
      </c>
      <c r="Q105" t="s">
        <v>121</v>
      </c>
      <c r="R105">
        <v>99999</v>
      </c>
      <c r="S105" t="s">
        <v>30</v>
      </c>
      <c r="U105" t="s">
        <v>103</v>
      </c>
      <c r="V105" t="s">
        <v>37</v>
      </c>
      <c r="W105" s="3">
        <v>2.99</v>
      </c>
      <c r="X105">
        <v>73</v>
      </c>
      <c r="Y105" s="4">
        <v>218.27</v>
      </c>
      <c r="Z105" s="3">
        <v>21.827000000000002</v>
      </c>
    </row>
    <row r="106" spans="1:26" hidden="1" x14ac:dyDescent="0.35">
      <c r="A106">
        <v>1114</v>
      </c>
      <c r="B106" s="2">
        <v>41787</v>
      </c>
      <c r="C106">
        <v>28</v>
      </c>
      <c r="D106" t="s">
        <v>90</v>
      </c>
      <c r="E106" t="s">
        <v>91</v>
      </c>
      <c r="F106" t="s">
        <v>92</v>
      </c>
      <c r="G106" t="s">
        <v>93</v>
      </c>
      <c r="H106">
        <v>99999</v>
      </c>
      <c r="I106" t="s">
        <v>30</v>
      </c>
      <c r="J106" t="s">
        <v>94</v>
      </c>
      <c r="K106" t="s">
        <v>95</v>
      </c>
      <c r="L106">
        <v>41789</v>
      </c>
      <c r="M106" t="s">
        <v>62</v>
      </c>
      <c r="N106" t="s">
        <v>96</v>
      </c>
      <c r="O106" t="s">
        <v>91</v>
      </c>
      <c r="P106" t="s">
        <v>92</v>
      </c>
      <c r="Q106" t="s">
        <v>93</v>
      </c>
      <c r="R106">
        <v>99999</v>
      </c>
      <c r="S106" t="s">
        <v>30</v>
      </c>
      <c r="T106" t="s">
        <v>48</v>
      </c>
      <c r="U106" t="s">
        <v>80</v>
      </c>
      <c r="V106" t="s">
        <v>81</v>
      </c>
      <c r="W106" s="3">
        <v>9.65</v>
      </c>
      <c r="X106">
        <v>74</v>
      </c>
      <c r="Y106" s="4">
        <v>714.1</v>
      </c>
      <c r="Z106" s="3">
        <v>67.839500000000001</v>
      </c>
    </row>
    <row r="107" spans="1:26" hidden="1" x14ac:dyDescent="0.35">
      <c r="A107">
        <v>1115</v>
      </c>
      <c r="B107" s="2">
        <v>41787</v>
      </c>
      <c r="C107">
        <v>28</v>
      </c>
      <c r="D107" t="s">
        <v>90</v>
      </c>
      <c r="E107" t="s">
        <v>91</v>
      </c>
      <c r="F107" t="s">
        <v>92</v>
      </c>
      <c r="G107" t="s">
        <v>93</v>
      </c>
      <c r="H107">
        <v>99999</v>
      </c>
      <c r="I107" t="s">
        <v>30</v>
      </c>
      <c r="J107" t="s">
        <v>94</v>
      </c>
      <c r="K107" t="s">
        <v>95</v>
      </c>
      <c r="L107" s="2">
        <v>41789</v>
      </c>
      <c r="M107" t="s">
        <v>62</v>
      </c>
      <c r="N107" t="s">
        <v>96</v>
      </c>
      <c r="O107" t="s">
        <v>91</v>
      </c>
      <c r="P107" t="s">
        <v>92</v>
      </c>
      <c r="Q107" t="s">
        <v>93</v>
      </c>
      <c r="R107">
        <v>99999</v>
      </c>
      <c r="S107" t="s">
        <v>30</v>
      </c>
      <c r="T107" t="s">
        <v>48</v>
      </c>
      <c r="U107" t="s">
        <v>123</v>
      </c>
      <c r="V107" t="s">
        <v>124</v>
      </c>
      <c r="W107" s="3">
        <v>18.399999999999999</v>
      </c>
      <c r="X107">
        <v>25</v>
      </c>
      <c r="Y107" s="4">
        <v>459.99999999999994</v>
      </c>
      <c r="Z107" s="3">
        <v>46.46</v>
      </c>
    </row>
    <row r="108" spans="1:26" hidden="1" x14ac:dyDescent="0.35">
      <c r="A108">
        <v>1116</v>
      </c>
      <c r="B108" s="2">
        <v>41768</v>
      </c>
      <c r="C108">
        <v>9</v>
      </c>
      <c r="D108" t="s">
        <v>125</v>
      </c>
      <c r="E108" t="s">
        <v>126</v>
      </c>
      <c r="F108" t="s">
        <v>127</v>
      </c>
      <c r="G108" t="s">
        <v>128</v>
      </c>
      <c r="H108">
        <v>99999</v>
      </c>
      <c r="I108" t="s">
        <v>30</v>
      </c>
      <c r="J108" t="s">
        <v>129</v>
      </c>
      <c r="K108" t="s">
        <v>32</v>
      </c>
      <c r="L108" s="2">
        <v>41770</v>
      </c>
      <c r="M108" t="s">
        <v>46</v>
      </c>
      <c r="N108" t="s">
        <v>130</v>
      </c>
      <c r="O108" t="s">
        <v>126</v>
      </c>
      <c r="P108" t="s">
        <v>127</v>
      </c>
      <c r="Q108" t="s">
        <v>128</v>
      </c>
      <c r="R108">
        <v>99999</v>
      </c>
      <c r="S108" t="s">
        <v>30</v>
      </c>
      <c r="T108" t="s">
        <v>35</v>
      </c>
      <c r="U108" t="s">
        <v>131</v>
      </c>
      <c r="V108" t="s">
        <v>132</v>
      </c>
      <c r="W108" s="3">
        <v>19.5</v>
      </c>
      <c r="X108">
        <v>82</v>
      </c>
      <c r="Y108" s="4">
        <v>1599</v>
      </c>
      <c r="Z108" s="3">
        <v>153.50399999999999</v>
      </c>
    </row>
    <row r="109" spans="1:26" hidden="1" x14ac:dyDescent="0.35">
      <c r="A109">
        <v>1117</v>
      </c>
      <c r="B109" s="2">
        <v>41768</v>
      </c>
      <c r="C109">
        <v>9</v>
      </c>
      <c r="D109" t="s">
        <v>125</v>
      </c>
      <c r="E109" t="s">
        <v>126</v>
      </c>
      <c r="F109" t="s">
        <v>127</v>
      </c>
      <c r="G109" t="s">
        <v>128</v>
      </c>
      <c r="H109">
        <v>99999</v>
      </c>
      <c r="I109" t="s">
        <v>30</v>
      </c>
      <c r="J109" t="s">
        <v>129</v>
      </c>
      <c r="K109" t="s">
        <v>32</v>
      </c>
      <c r="L109" s="2">
        <v>41770</v>
      </c>
      <c r="M109" t="s">
        <v>46</v>
      </c>
      <c r="N109" t="s">
        <v>130</v>
      </c>
      <c r="O109" t="s">
        <v>126</v>
      </c>
      <c r="P109" t="s">
        <v>127</v>
      </c>
      <c r="Q109" t="s">
        <v>128</v>
      </c>
      <c r="R109">
        <v>99999</v>
      </c>
      <c r="S109" t="s">
        <v>30</v>
      </c>
      <c r="T109" t="s">
        <v>35</v>
      </c>
      <c r="U109" t="s">
        <v>133</v>
      </c>
      <c r="V109" t="s">
        <v>134</v>
      </c>
      <c r="W109" s="3">
        <v>34.799999999999997</v>
      </c>
      <c r="X109">
        <v>37</v>
      </c>
      <c r="Y109" s="4">
        <v>1287.5999999999999</v>
      </c>
      <c r="Z109" s="3">
        <v>132.62279999999998</v>
      </c>
    </row>
    <row r="110" spans="1:26" hidden="1" x14ac:dyDescent="0.35">
      <c r="A110">
        <v>1118</v>
      </c>
      <c r="B110" s="2">
        <v>41765</v>
      </c>
      <c r="C110">
        <v>6</v>
      </c>
      <c r="D110" t="s">
        <v>82</v>
      </c>
      <c r="E110" t="s">
        <v>83</v>
      </c>
      <c r="F110" t="s">
        <v>84</v>
      </c>
      <c r="G110" t="s">
        <v>85</v>
      </c>
      <c r="H110">
        <v>99999</v>
      </c>
      <c r="I110" t="s">
        <v>30</v>
      </c>
      <c r="J110" t="s">
        <v>86</v>
      </c>
      <c r="K110" t="s">
        <v>61</v>
      </c>
      <c r="L110">
        <v>41767</v>
      </c>
      <c r="M110" t="s">
        <v>33</v>
      </c>
      <c r="N110" t="s">
        <v>87</v>
      </c>
      <c r="O110" t="s">
        <v>83</v>
      </c>
      <c r="P110" t="s">
        <v>84</v>
      </c>
      <c r="Q110" t="s">
        <v>85</v>
      </c>
      <c r="R110">
        <v>99999</v>
      </c>
      <c r="S110" t="s">
        <v>30</v>
      </c>
      <c r="T110" t="s">
        <v>48</v>
      </c>
      <c r="U110" t="s">
        <v>36</v>
      </c>
      <c r="V110" t="s">
        <v>37</v>
      </c>
      <c r="W110" s="3">
        <v>14</v>
      </c>
      <c r="X110">
        <v>84</v>
      </c>
      <c r="Y110" s="4">
        <v>1176</v>
      </c>
      <c r="Z110" s="3">
        <v>112.896</v>
      </c>
    </row>
    <row r="111" spans="1:26" hidden="1" x14ac:dyDescent="0.35">
      <c r="A111">
        <v>1119</v>
      </c>
      <c r="B111" s="2">
        <v>41767</v>
      </c>
      <c r="C111">
        <v>8</v>
      </c>
      <c r="D111" t="s">
        <v>56</v>
      </c>
      <c r="E111" t="s">
        <v>57</v>
      </c>
      <c r="F111" t="s">
        <v>58</v>
      </c>
      <c r="G111" t="s">
        <v>59</v>
      </c>
      <c r="H111">
        <v>99999</v>
      </c>
      <c r="I111" t="s">
        <v>30</v>
      </c>
      <c r="J111" t="s">
        <v>60</v>
      </c>
      <c r="K111" t="s">
        <v>61</v>
      </c>
      <c r="L111">
        <v>41769</v>
      </c>
      <c r="M111" t="s">
        <v>33</v>
      </c>
      <c r="N111" t="s">
        <v>63</v>
      </c>
      <c r="O111" t="s">
        <v>57</v>
      </c>
      <c r="P111" t="s">
        <v>58</v>
      </c>
      <c r="Q111" t="s">
        <v>59</v>
      </c>
      <c r="R111">
        <v>99999</v>
      </c>
      <c r="S111" t="s">
        <v>30</v>
      </c>
      <c r="T111" t="s">
        <v>35</v>
      </c>
      <c r="U111" t="s">
        <v>88</v>
      </c>
      <c r="V111" t="s">
        <v>89</v>
      </c>
      <c r="W111" s="3">
        <v>40</v>
      </c>
      <c r="X111">
        <v>73</v>
      </c>
      <c r="Y111" s="4">
        <v>2920</v>
      </c>
      <c r="Z111" s="3">
        <v>283.24</v>
      </c>
    </row>
    <row r="112" spans="1:26" hidden="1" x14ac:dyDescent="0.35">
      <c r="A112">
        <v>1120</v>
      </c>
      <c r="B112" s="2">
        <v>41767</v>
      </c>
      <c r="C112">
        <v>8</v>
      </c>
      <c r="D112" t="s">
        <v>56</v>
      </c>
      <c r="E112" t="s">
        <v>57</v>
      </c>
      <c r="F112" t="s">
        <v>58</v>
      </c>
      <c r="G112" t="s">
        <v>59</v>
      </c>
      <c r="H112">
        <v>99999</v>
      </c>
      <c r="I112" t="s">
        <v>30</v>
      </c>
      <c r="J112" t="s">
        <v>60</v>
      </c>
      <c r="K112" t="s">
        <v>61</v>
      </c>
      <c r="L112">
        <v>41769</v>
      </c>
      <c r="M112" t="s">
        <v>33</v>
      </c>
      <c r="N112" t="s">
        <v>63</v>
      </c>
      <c r="O112" t="s">
        <v>57</v>
      </c>
      <c r="P112" t="s">
        <v>58</v>
      </c>
      <c r="Q112" t="s">
        <v>59</v>
      </c>
      <c r="R112">
        <v>99999</v>
      </c>
      <c r="S112" t="s">
        <v>30</v>
      </c>
      <c r="T112" t="s">
        <v>35</v>
      </c>
      <c r="U112" t="s">
        <v>64</v>
      </c>
      <c r="V112" t="s">
        <v>65</v>
      </c>
      <c r="W112" s="3">
        <v>9.1999999999999993</v>
      </c>
      <c r="X112">
        <v>51</v>
      </c>
      <c r="Y112" s="4">
        <v>469.2</v>
      </c>
      <c r="Z112" s="3">
        <v>44.573999999999998</v>
      </c>
    </row>
    <row r="113" spans="1:26" hidden="1" x14ac:dyDescent="0.35">
      <c r="A113">
        <v>1121</v>
      </c>
      <c r="B113" s="2">
        <v>41784</v>
      </c>
      <c r="C113">
        <v>25</v>
      </c>
      <c r="D113" t="s">
        <v>137</v>
      </c>
      <c r="E113" t="s">
        <v>138</v>
      </c>
      <c r="F113" t="s">
        <v>99</v>
      </c>
      <c r="G113" t="s">
        <v>100</v>
      </c>
      <c r="H113">
        <v>99999</v>
      </c>
      <c r="I113" t="s">
        <v>30</v>
      </c>
      <c r="J113" t="s">
        <v>101</v>
      </c>
      <c r="K113" t="s">
        <v>45</v>
      </c>
      <c r="L113">
        <v>41786</v>
      </c>
      <c r="M113" t="s">
        <v>46</v>
      </c>
      <c r="N113" t="s">
        <v>139</v>
      </c>
      <c r="O113" t="s">
        <v>138</v>
      </c>
      <c r="P113" t="s">
        <v>99</v>
      </c>
      <c r="Q113" t="s">
        <v>100</v>
      </c>
      <c r="R113">
        <v>99999</v>
      </c>
      <c r="S113" t="s">
        <v>30</v>
      </c>
      <c r="T113" t="s">
        <v>79</v>
      </c>
      <c r="U113" t="s">
        <v>146</v>
      </c>
      <c r="V113" t="s">
        <v>65</v>
      </c>
      <c r="W113" s="3">
        <v>10</v>
      </c>
      <c r="X113">
        <v>66</v>
      </c>
      <c r="Y113" s="4">
        <v>660</v>
      </c>
      <c r="Z113" s="3">
        <v>68.64</v>
      </c>
    </row>
    <row r="114" spans="1:26" hidden="1" x14ac:dyDescent="0.35">
      <c r="A114">
        <v>1122</v>
      </c>
      <c r="B114" s="2">
        <v>41785</v>
      </c>
      <c r="C114">
        <v>26</v>
      </c>
      <c r="D114" t="s">
        <v>140</v>
      </c>
      <c r="E114" t="s">
        <v>141</v>
      </c>
      <c r="F114" t="s">
        <v>115</v>
      </c>
      <c r="G114" t="s">
        <v>116</v>
      </c>
      <c r="H114">
        <v>99999</v>
      </c>
      <c r="I114" t="s">
        <v>30</v>
      </c>
      <c r="J114" t="s">
        <v>94</v>
      </c>
      <c r="K114" t="s">
        <v>95</v>
      </c>
      <c r="L114">
        <v>41787</v>
      </c>
      <c r="M114" t="s">
        <v>62</v>
      </c>
      <c r="N114" t="s">
        <v>142</v>
      </c>
      <c r="O114" t="s">
        <v>141</v>
      </c>
      <c r="P114" t="s">
        <v>115</v>
      </c>
      <c r="Q114" t="s">
        <v>116</v>
      </c>
      <c r="R114">
        <v>99999</v>
      </c>
      <c r="S114" t="s">
        <v>30</v>
      </c>
      <c r="T114" t="s">
        <v>48</v>
      </c>
      <c r="U114" t="s">
        <v>147</v>
      </c>
      <c r="V114" t="s">
        <v>148</v>
      </c>
      <c r="W114" s="3">
        <v>21.35</v>
      </c>
      <c r="X114">
        <v>36</v>
      </c>
      <c r="Y114" s="4">
        <v>768.6</v>
      </c>
      <c r="Z114" s="3">
        <v>74.554200000000009</v>
      </c>
    </row>
    <row r="115" spans="1:26" hidden="1" x14ac:dyDescent="0.35">
      <c r="A115">
        <v>1123</v>
      </c>
      <c r="B115" s="2">
        <v>41785</v>
      </c>
      <c r="C115">
        <v>26</v>
      </c>
      <c r="D115" t="s">
        <v>140</v>
      </c>
      <c r="E115" t="s">
        <v>141</v>
      </c>
      <c r="F115" t="s">
        <v>115</v>
      </c>
      <c r="G115" t="s">
        <v>116</v>
      </c>
      <c r="H115">
        <v>99999</v>
      </c>
      <c r="I115" t="s">
        <v>30</v>
      </c>
      <c r="J115" t="s">
        <v>94</v>
      </c>
      <c r="K115" t="s">
        <v>95</v>
      </c>
      <c r="L115" s="2">
        <v>41787</v>
      </c>
      <c r="M115" t="s">
        <v>62</v>
      </c>
      <c r="N115" t="s">
        <v>142</v>
      </c>
      <c r="O115" t="s">
        <v>141</v>
      </c>
      <c r="P115" t="s">
        <v>115</v>
      </c>
      <c r="Q115" t="s">
        <v>116</v>
      </c>
      <c r="R115">
        <v>99999</v>
      </c>
      <c r="S115" t="s">
        <v>30</v>
      </c>
      <c r="T115" t="s">
        <v>48</v>
      </c>
      <c r="U115" t="s">
        <v>80</v>
      </c>
      <c r="V115" t="s">
        <v>81</v>
      </c>
      <c r="W115" s="3">
        <v>9.65</v>
      </c>
      <c r="X115">
        <v>87</v>
      </c>
      <c r="Y115" s="4">
        <v>839.55000000000007</v>
      </c>
      <c r="Z115" s="3">
        <v>87.313200000000009</v>
      </c>
    </row>
    <row r="116" spans="1:26" hidden="1" x14ac:dyDescent="0.35">
      <c r="A116">
        <v>1124</v>
      </c>
      <c r="B116" s="2">
        <v>41785</v>
      </c>
      <c r="C116">
        <v>26</v>
      </c>
      <c r="D116" t="s">
        <v>140</v>
      </c>
      <c r="E116" t="s">
        <v>141</v>
      </c>
      <c r="F116" t="s">
        <v>115</v>
      </c>
      <c r="G116" t="s">
        <v>116</v>
      </c>
      <c r="H116">
        <v>99999</v>
      </c>
      <c r="I116" t="s">
        <v>30</v>
      </c>
      <c r="J116" t="s">
        <v>94</v>
      </c>
      <c r="K116" t="s">
        <v>95</v>
      </c>
      <c r="L116" s="2">
        <v>41787</v>
      </c>
      <c r="M116" t="s">
        <v>62</v>
      </c>
      <c r="N116" t="s">
        <v>142</v>
      </c>
      <c r="O116" t="s">
        <v>141</v>
      </c>
      <c r="P116" t="s">
        <v>115</v>
      </c>
      <c r="Q116" t="s">
        <v>116</v>
      </c>
      <c r="R116">
        <v>99999</v>
      </c>
      <c r="S116" t="s">
        <v>30</v>
      </c>
      <c r="T116" t="s">
        <v>48</v>
      </c>
      <c r="U116" t="s">
        <v>123</v>
      </c>
      <c r="V116" t="s">
        <v>124</v>
      </c>
      <c r="W116" s="3">
        <v>18.399999999999999</v>
      </c>
      <c r="X116">
        <v>64</v>
      </c>
      <c r="Y116" s="4">
        <v>1177.5999999999999</v>
      </c>
      <c r="Z116" s="3">
        <v>115.40479999999999</v>
      </c>
    </row>
    <row r="117" spans="1:26" hidden="1" x14ac:dyDescent="0.35">
      <c r="A117">
        <v>1125</v>
      </c>
      <c r="B117" s="2">
        <v>41788</v>
      </c>
      <c r="C117">
        <v>29</v>
      </c>
      <c r="D117" t="s">
        <v>66</v>
      </c>
      <c r="E117" t="s">
        <v>67</v>
      </c>
      <c r="F117" t="s">
        <v>68</v>
      </c>
      <c r="G117" t="s">
        <v>69</v>
      </c>
      <c r="H117">
        <v>99999</v>
      </c>
      <c r="I117" t="s">
        <v>30</v>
      </c>
      <c r="J117" t="s">
        <v>70</v>
      </c>
      <c r="K117" t="s">
        <v>32</v>
      </c>
      <c r="L117" s="2">
        <v>41790</v>
      </c>
      <c r="M117" t="s">
        <v>33</v>
      </c>
      <c r="N117" t="s">
        <v>71</v>
      </c>
      <c r="O117" t="s">
        <v>67</v>
      </c>
      <c r="P117" t="s">
        <v>68</v>
      </c>
      <c r="Q117" t="s">
        <v>69</v>
      </c>
      <c r="R117">
        <v>99999</v>
      </c>
      <c r="S117" t="s">
        <v>30</v>
      </c>
      <c r="T117" t="s">
        <v>35</v>
      </c>
      <c r="U117" t="s">
        <v>36</v>
      </c>
      <c r="V117" t="s">
        <v>37</v>
      </c>
      <c r="W117" s="3">
        <v>14</v>
      </c>
      <c r="X117">
        <v>21</v>
      </c>
      <c r="Y117" s="4">
        <v>294</v>
      </c>
      <c r="Z117" s="3">
        <v>30.870000000000005</v>
      </c>
    </row>
    <row r="118" spans="1:26" hidden="1" x14ac:dyDescent="0.35">
      <c r="A118">
        <v>1126</v>
      </c>
      <c r="B118" s="2">
        <v>41765</v>
      </c>
      <c r="C118">
        <v>6</v>
      </c>
      <c r="D118" t="s">
        <v>82</v>
      </c>
      <c r="E118" t="s">
        <v>83</v>
      </c>
      <c r="F118" t="s">
        <v>84</v>
      </c>
      <c r="G118" t="s">
        <v>85</v>
      </c>
      <c r="H118">
        <v>99999</v>
      </c>
      <c r="I118" t="s">
        <v>30</v>
      </c>
      <c r="J118" t="s">
        <v>86</v>
      </c>
      <c r="K118" t="s">
        <v>61</v>
      </c>
      <c r="L118" s="2">
        <v>41767</v>
      </c>
      <c r="M118" t="s">
        <v>62</v>
      </c>
      <c r="N118" t="s">
        <v>87</v>
      </c>
      <c r="O118" t="s">
        <v>83</v>
      </c>
      <c r="P118" t="s">
        <v>84</v>
      </c>
      <c r="Q118" t="s">
        <v>85</v>
      </c>
      <c r="R118">
        <v>99999</v>
      </c>
      <c r="S118" t="s">
        <v>30</v>
      </c>
      <c r="T118" t="s">
        <v>35</v>
      </c>
      <c r="U118" t="s">
        <v>72</v>
      </c>
      <c r="V118" t="s">
        <v>73</v>
      </c>
      <c r="W118" s="3">
        <v>12.75</v>
      </c>
      <c r="X118">
        <v>19</v>
      </c>
      <c r="Y118" s="4">
        <v>242.25</v>
      </c>
      <c r="Z118" s="3">
        <v>24.46725</v>
      </c>
    </row>
    <row r="119" spans="1:26" hidden="1" x14ac:dyDescent="0.35">
      <c r="A119">
        <v>1128</v>
      </c>
      <c r="B119" s="2">
        <v>41763</v>
      </c>
      <c r="C119">
        <v>4</v>
      </c>
      <c r="D119" t="s">
        <v>40</v>
      </c>
      <c r="E119" t="s">
        <v>41</v>
      </c>
      <c r="F119" t="s">
        <v>42</v>
      </c>
      <c r="G119" t="s">
        <v>43</v>
      </c>
      <c r="H119">
        <v>99999</v>
      </c>
      <c r="I119" t="s">
        <v>30</v>
      </c>
      <c r="J119" t="s">
        <v>44</v>
      </c>
      <c r="K119" t="s">
        <v>45</v>
      </c>
      <c r="L119" s="2">
        <v>41765</v>
      </c>
      <c r="M119" t="s">
        <v>46</v>
      </c>
      <c r="N119" t="s">
        <v>47</v>
      </c>
      <c r="O119" t="s">
        <v>41</v>
      </c>
      <c r="P119" t="s">
        <v>42</v>
      </c>
      <c r="Q119" t="s">
        <v>43</v>
      </c>
      <c r="R119">
        <v>99999</v>
      </c>
      <c r="S119" t="s">
        <v>30</v>
      </c>
      <c r="T119" t="s">
        <v>48</v>
      </c>
      <c r="U119" t="s">
        <v>149</v>
      </c>
      <c r="V119" t="s">
        <v>110</v>
      </c>
      <c r="W119" s="3">
        <v>81</v>
      </c>
      <c r="X119">
        <v>23</v>
      </c>
      <c r="Y119" s="4">
        <v>1863</v>
      </c>
      <c r="Z119" s="3">
        <v>195.61500000000001</v>
      </c>
    </row>
    <row r="120" spans="1:26" hidden="1" x14ac:dyDescent="0.35">
      <c r="A120">
        <v>1129</v>
      </c>
      <c r="B120" s="2">
        <v>41763</v>
      </c>
      <c r="C120">
        <v>4</v>
      </c>
      <c r="D120" t="s">
        <v>40</v>
      </c>
      <c r="E120" t="s">
        <v>41</v>
      </c>
      <c r="F120" t="s">
        <v>42</v>
      </c>
      <c r="G120" t="s">
        <v>43</v>
      </c>
      <c r="H120">
        <v>99999</v>
      </c>
      <c r="I120" t="s">
        <v>30</v>
      </c>
      <c r="J120" t="s">
        <v>44</v>
      </c>
      <c r="K120" t="s">
        <v>45</v>
      </c>
      <c r="L120" s="2">
        <v>41765</v>
      </c>
      <c r="M120" t="s">
        <v>46</v>
      </c>
      <c r="N120" t="s">
        <v>47</v>
      </c>
      <c r="O120" t="s">
        <v>41</v>
      </c>
      <c r="P120" t="s">
        <v>42</v>
      </c>
      <c r="Q120" t="s">
        <v>43</v>
      </c>
      <c r="R120">
        <v>99999</v>
      </c>
      <c r="S120" t="s">
        <v>30</v>
      </c>
      <c r="T120" t="s">
        <v>48</v>
      </c>
      <c r="U120" t="s">
        <v>150</v>
      </c>
      <c r="V120" t="s">
        <v>151</v>
      </c>
      <c r="W120" s="3">
        <v>7</v>
      </c>
      <c r="X120">
        <v>72</v>
      </c>
      <c r="Y120" s="4">
        <v>504</v>
      </c>
      <c r="Z120" s="3">
        <v>51.912000000000006</v>
      </c>
    </row>
    <row r="121" spans="1:26" hidden="1" x14ac:dyDescent="0.35">
      <c r="A121">
        <v>1131</v>
      </c>
      <c r="B121" s="2">
        <v>41767</v>
      </c>
      <c r="C121">
        <v>8</v>
      </c>
      <c r="D121" t="s">
        <v>56</v>
      </c>
      <c r="E121" t="s">
        <v>57</v>
      </c>
      <c r="F121" t="s">
        <v>58</v>
      </c>
      <c r="G121" t="s">
        <v>59</v>
      </c>
      <c r="H121">
        <v>99999</v>
      </c>
      <c r="I121" t="s">
        <v>30</v>
      </c>
      <c r="J121" t="s">
        <v>60</v>
      </c>
      <c r="K121" t="s">
        <v>61</v>
      </c>
      <c r="L121" s="2">
        <v>41769</v>
      </c>
      <c r="M121" t="s">
        <v>62</v>
      </c>
      <c r="N121" t="s">
        <v>63</v>
      </c>
      <c r="O121" t="s">
        <v>57</v>
      </c>
      <c r="P121" t="s">
        <v>58</v>
      </c>
      <c r="Q121" t="s">
        <v>59</v>
      </c>
      <c r="R121">
        <v>99999</v>
      </c>
      <c r="S121" t="s">
        <v>30</v>
      </c>
      <c r="T121" t="s">
        <v>48</v>
      </c>
      <c r="U121" t="s">
        <v>133</v>
      </c>
      <c r="V121" t="s">
        <v>134</v>
      </c>
      <c r="W121" s="3">
        <v>34.799999999999997</v>
      </c>
      <c r="X121">
        <v>22</v>
      </c>
      <c r="Y121" s="4">
        <v>765.59999999999991</v>
      </c>
      <c r="Z121" s="3">
        <v>75.02879999999999</v>
      </c>
    </row>
    <row r="122" spans="1:26" hidden="1" x14ac:dyDescent="0.35">
      <c r="A122">
        <v>1134</v>
      </c>
      <c r="B122" s="2">
        <v>41762</v>
      </c>
      <c r="C122">
        <v>3</v>
      </c>
      <c r="D122" t="s">
        <v>74</v>
      </c>
      <c r="E122" t="s">
        <v>75</v>
      </c>
      <c r="F122" t="s">
        <v>76</v>
      </c>
      <c r="G122" t="s">
        <v>77</v>
      </c>
      <c r="H122">
        <v>99999</v>
      </c>
      <c r="I122" t="s">
        <v>30</v>
      </c>
      <c r="J122" t="s">
        <v>31</v>
      </c>
      <c r="K122" t="s">
        <v>32</v>
      </c>
      <c r="L122" s="2">
        <v>41764</v>
      </c>
      <c r="M122" t="s">
        <v>33</v>
      </c>
      <c r="N122" t="s">
        <v>78</v>
      </c>
      <c r="O122" t="s">
        <v>75</v>
      </c>
      <c r="P122" t="s">
        <v>76</v>
      </c>
      <c r="Q122" t="s">
        <v>77</v>
      </c>
      <c r="R122">
        <v>99999</v>
      </c>
      <c r="S122" t="s">
        <v>30</v>
      </c>
      <c r="T122" t="s">
        <v>79</v>
      </c>
      <c r="U122" t="s">
        <v>135</v>
      </c>
      <c r="V122" t="s">
        <v>112</v>
      </c>
      <c r="W122" s="3">
        <v>10</v>
      </c>
      <c r="X122">
        <v>82</v>
      </c>
      <c r="Y122" s="4">
        <v>820</v>
      </c>
      <c r="Z122" s="3">
        <v>85.28</v>
      </c>
    </row>
    <row r="123" spans="1:26" hidden="1" x14ac:dyDescent="0.35">
      <c r="A123">
        <v>1135</v>
      </c>
      <c r="B123" s="2">
        <v>41762</v>
      </c>
      <c r="C123">
        <v>3</v>
      </c>
      <c r="D123" t="s">
        <v>74</v>
      </c>
      <c r="E123" t="s">
        <v>75</v>
      </c>
      <c r="F123" t="s">
        <v>76</v>
      </c>
      <c r="G123" t="s">
        <v>77</v>
      </c>
      <c r="H123">
        <v>99999</v>
      </c>
      <c r="I123" t="s">
        <v>30</v>
      </c>
      <c r="J123" t="s">
        <v>31</v>
      </c>
      <c r="K123" t="s">
        <v>32</v>
      </c>
      <c r="L123" s="2">
        <v>41764</v>
      </c>
      <c r="M123" t="s">
        <v>33</v>
      </c>
      <c r="N123" t="s">
        <v>78</v>
      </c>
      <c r="O123" t="s">
        <v>75</v>
      </c>
      <c r="P123" t="s">
        <v>76</v>
      </c>
      <c r="Q123" t="s">
        <v>77</v>
      </c>
      <c r="R123">
        <v>99999</v>
      </c>
      <c r="S123" t="s">
        <v>30</v>
      </c>
      <c r="T123" t="s">
        <v>79</v>
      </c>
      <c r="U123" t="s">
        <v>88</v>
      </c>
      <c r="V123" t="s">
        <v>89</v>
      </c>
      <c r="W123" s="3">
        <v>40</v>
      </c>
      <c r="X123">
        <v>98</v>
      </c>
      <c r="Y123" s="4">
        <v>3920</v>
      </c>
      <c r="Z123" s="3">
        <v>411.6</v>
      </c>
    </row>
    <row r="124" spans="1:26" hidden="1" x14ac:dyDescent="0.35">
      <c r="A124">
        <v>1138</v>
      </c>
      <c r="B124" s="2">
        <v>41797</v>
      </c>
      <c r="C124">
        <v>7</v>
      </c>
      <c r="D124" t="s">
        <v>104</v>
      </c>
      <c r="E124" t="s">
        <v>105</v>
      </c>
      <c r="F124" t="s">
        <v>106</v>
      </c>
      <c r="G124" t="s">
        <v>107</v>
      </c>
      <c r="H124">
        <v>99999</v>
      </c>
      <c r="I124" t="s">
        <v>30</v>
      </c>
      <c r="J124" t="s">
        <v>60</v>
      </c>
      <c r="K124" t="s">
        <v>61</v>
      </c>
      <c r="L124" s="2"/>
      <c r="N124" t="s">
        <v>108</v>
      </c>
      <c r="O124" t="s">
        <v>105</v>
      </c>
      <c r="P124" t="s">
        <v>106</v>
      </c>
      <c r="Q124" t="s">
        <v>107</v>
      </c>
      <c r="R124">
        <v>99999</v>
      </c>
      <c r="S124" t="s">
        <v>30</v>
      </c>
      <c r="U124" t="s">
        <v>55</v>
      </c>
      <c r="V124" t="s">
        <v>37</v>
      </c>
      <c r="W124" s="3">
        <v>46</v>
      </c>
      <c r="X124">
        <v>71</v>
      </c>
      <c r="Y124" s="4">
        <v>3266</v>
      </c>
      <c r="Z124" s="3">
        <v>310.27</v>
      </c>
    </row>
    <row r="125" spans="1:26" hidden="1" x14ac:dyDescent="0.35">
      <c r="A125">
        <v>1139</v>
      </c>
      <c r="B125" s="2">
        <v>41800</v>
      </c>
      <c r="C125">
        <v>10</v>
      </c>
      <c r="D125" t="s">
        <v>97</v>
      </c>
      <c r="E125" t="s">
        <v>98</v>
      </c>
      <c r="F125" t="s">
        <v>99</v>
      </c>
      <c r="G125" t="s">
        <v>100</v>
      </c>
      <c r="H125">
        <v>99999</v>
      </c>
      <c r="I125" t="s">
        <v>30</v>
      </c>
      <c r="J125" t="s">
        <v>101</v>
      </c>
      <c r="K125" t="s">
        <v>45</v>
      </c>
      <c r="L125" s="2">
        <v>41802</v>
      </c>
      <c r="M125" t="s">
        <v>46</v>
      </c>
      <c r="N125" t="s">
        <v>102</v>
      </c>
      <c r="O125" t="s">
        <v>98</v>
      </c>
      <c r="P125" t="s">
        <v>99</v>
      </c>
      <c r="Q125" t="s">
        <v>100</v>
      </c>
      <c r="R125">
        <v>99999</v>
      </c>
      <c r="S125" t="s">
        <v>30</v>
      </c>
      <c r="U125" t="s">
        <v>109</v>
      </c>
      <c r="V125" t="s">
        <v>110</v>
      </c>
      <c r="W125" s="3">
        <v>25</v>
      </c>
      <c r="X125">
        <v>40</v>
      </c>
      <c r="Y125" s="4">
        <v>1000</v>
      </c>
      <c r="Z125" s="3">
        <v>105</v>
      </c>
    </row>
    <row r="126" spans="1:26" hidden="1" x14ac:dyDescent="0.35">
      <c r="A126">
        <v>1140</v>
      </c>
      <c r="B126" s="2">
        <v>41800</v>
      </c>
      <c r="C126">
        <v>10</v>
      </c>
      <c r="D126" t="s">
        <v>97</v>
      </c>
      <c r="E126" t="s">
        <v>98</v>
      </c>
      <c r="F126" t="s">
        <v>99</v>
      </c>
      <c r="G126" t="s">
        <v>100</v>
      </c>
      <c r="H126">
        <v>99999</v>
      </c>
      <c r="I126" t="s">
        <v>30</v>
      </c>
      <c r="J126" t="s">
        <v>101</v>
      </c>
      <c r="K126" t="s">
        <v>45</v>
      </c>
      <c r="L126" s="2">
        <v>41802</v>
      </c>
      <c r="M126" t="s">
        <v>46</v>
      </c>
      <c r="N126" t="s">
        <v>102</v>
      </c>
      <c r="O126" t="s">
        <v>98</v>
      </c>
      <c r="P126" t="s">
        <v>99</v>
      </c>
      <c r="Q126" t="s">
        <v>100</v>
      </c>
      <c r="R126">
        <v>99999</v>
      </c>
      <c r="S126" t="s">
        <v>30</v>
      </c>
      <c r="U126" t="s">
        <v>111</v>
      </c>
      <c r="V126" t="s">
        <v>112</v>
      </c>
      <c r="W126" s="3">
        <v>22</v>
      </c>
      <c r="X126">
        <v>80</v>
      </c>
      <c r="Y126" s="4">
        <v>1760</v>
      </c>
      <c r="Z126" s="3">
        <v>172.48</v>
      </c>
    </row>
    <row r="127" spans="1:26" hidden="1" x14ac:dyDescent="0.35">
      <c r="A127">
        <v>1141</v>
      </c>
      <c r="B127" s="2">
        <v>41800</v>
      </c>
      <c r="C127">
        <v>10</v>
      </c>
      <c r="D127" t="s">
        <v>97</v>
      </c>
      <c r="E127" t="s">
        <v>98</v>
      </c>
      <c r="F127" t="s">
        <v>99</v>
      </c>
      <c r="G127" t="s">
        <v>100</v>
      </c>
      <c r="H127">
        <v>99999</v>
      </c>
      <c r="I127" t="s">
        <v>30</v>
      </c>
      <c r="J127" t="s">
        <v>101</v>
      </c>
      <c r="K127" t="s">
        <v>45</v>
      </c>
      <c r="L127" s="2">
        <v>41802</v>
      </c>
      <c r="M127" t="s">
        <v>46</v>
      </c>
      <c r="N127" t="s">
        <v>102</v>
      </c>
      <c r="O127" t="s">
        <v>98</v>
      </c>
      <c r="P127" t="s">
        <v>99</v>
      </c>
      <c r="Q127" t="s">
        <v>100</v>
      </c>
      <c r="R127">
        <v>99999</v>
      </c>
      <c r="S127" t="s">
        <v>30</v>
      </c>
      <c r="U127" t="s">
        <v>64</v>
      </c>
      <c r="V127" t="s">
        <v>65</v>
      </c>
      <c r="W127" s="3">
        <v>9.1999999999999993</v>
      </c>
      <c r="X127">
        <v>38</v>
      </c>
      <c r="Y127" s="4">
        <v>349.59999999999997</v>
      </c>
      <c r="Z127" s="3">
        <v>33.211999999999996</v>
      </c>
    </row>
    <row r="128" spans="1:26" hidden="1" x14ac:dyDescent="0.35">
      <c r="A128">
        <v>1142</v>
      </c>
      <c r="B128" s="2">
        <v>41801</v>
      </c>
      <c r="C128">
        <v>11</v>
      </c>
      <c r="D128" t="s">
        <v>113</v>
      </c>
      <c r="E128" t="s">
        <v>114</v>
      </c>
      <c r="F128" t="s">
        <v>115</v>
      </c>
      <c r="G128" t="s">
        <v>116</v>
      </c>
      <c r="H128">
        <v>99999</v>
      </c>
      <c r="I128" t="s">
        <v>30</v>
      </c>
      <c r="J128" t="s">
        <v>94</v>
      </c>
      <c r="K128" t="s">
        <v>95</v>
      </c>
      <c r="L128" s="2"/>
      <c r="M128" t="s">
        <v>62</v>
      </c>
      <c r="N128" t="s">
        <v>117</v>
      </c>
      <c r="O128" t="s">
        <v>114</v>
      </c>
      <c r="P128" t="s">
        <v>115</v>
      </c>
      <c r="Q128" t="s">
        <v>116</v>
      </c>
      <c r="R128">
        <v>99999</v>
      </c>
      <c r="S128" t="s">
        <v>30</v>
      </c>
      <c r="U128" t="s">
        <v>38</v>
      </c>
      <c r="V128" t="s">
        <v>39</v>
      </c>
      <c r="W128">
        <v>3.5</v>
      </c>
      <c r="X128">
        <v>28</v>
      </c>
      <c r="Y128" s="4">
        <v>98</v>
      </c>
      <c r="Z128" s="3">
        <v>10.290000000000001</v>
      </c>
    </row>
    <row r="129" spans="1:26" hidden="1" x14ac:dyDescent="0.35">
      <c r="A129">
        <v>1143</v>
      </c>
      <c r="B129" s="2">
        <v>41801</v>
      </c>
      <c r="C129">
        <v>11</v>
      </c>
      <c r="D129" t="s">
        <v>113</v>
      </c>
      <c r="E129" t="s">
        <v>114</v>
      </c>
      <c r="F129" t="s">
        <v>115</v>
      </c>
      <c r="G129" t="s">
        <v>116</v>
      </c>
      <c r="H129">
        <v>99999</v>
      </c>
      <c r="I129" t="s">
        <v>30</v>
      </c>
      <c r="J129" t="s">
        <v>94</v>
      </c>
      <c r="K129" t="s">
        <v>95</v>
      </c>
      <c r="L129" s="2"/>
      <c r="M129" t="s">
        <v>62</v>
      </c>
      <c r="N129" t="s">
        <v>117</v>
      </c>
      <c r="O129" t="s">
        <v>114</v>
      </c>
      <c r="P129" t="s">
        <v>115</v>
      </c>
      <c r="Q129" t="s">
        <v>116</v>
      </c>
      <c r="R129">
        <v>99999</v>
      </c>
      <c r="S129" t="s">
        <v>30</v>
      </c>
      <c r="U129" t="s">
        <v>103</v>
      </c>
      <c r="V129" t="s">
        <v>37</v>
      </c>
      <c r="W129">
        <v>2.99</v>
      </c>
      <c r="X129">
        <v>60</v>
      </c>
      <c r="Y129" s="4">
        <v>179.4</v>
      </c>
      <c r="Z129" s="3">
        <v>17.581200000000003</v>
      </c>
    </row>
    <row r="130" spans="1:26" hidden="1" x14ac:dyDescent="0.35">
      <c r="A130">
        <v>1144</v>
      </c>
      <c r="B130" s="2">
        <v>41791</v>
      </c>
      <c r="C130">
        <v>1</v>
      </c>
      <c r="D130" t="s">
        <v>118</v>
      </c>
      <c r="E130" t="s">
        <v>119</v>
      </c>
      <c r="F130" t="s">
        <v>120</v>
      </c>
      <c r="G130" t="s">
        <v>121</v>
      </c>
      <c r="H130">
        <v>99999</v>
      </c>
      <c r="I130" t="s">
        <v>30</v>
      </c>
      <c r="J130" t="s">
        <v>60</v>
      </c>
      <c r="K130" t="s">
        <v>61</v>
      </c>
      <c r="L130" s="2"/>
      <c r="N130" t="s">
        <v>122</v>
      </c>
      <c r="O130" t="s">
        <v>119</v>
      </c>
      <c r="P130" t="s">
        <v>120</v>
      </c>
      <c r="Q130" t="s">
        <v>121</v>
      </c>
      <c r="R130">
        <v>99999</v>
      </c>
      <c r="S130" t="s">
        <v>30</v>
      </c>
      <c r="U130" t="s">
        <v>54</v>
      </c>
      <c r="V130" t="s">
        <v>37</v>
      </c>
      <c r="W130">
        <v>18</v>
      </c>
      <c r="X130">
        <v>33</v>
      </c>
      <c r="Y130" s="4">
        <v>594</v>
      </c>
      <c r="Z130" s="3">
        <v>58.212000000000003</v>
      </c>
    </row>
    <row r="131" spans="1:26" hidden="1" x14ac:dyDescent="0.35">
      <c r="A131">
        <v>1145</v>
      </c>
      <c r="B131" s="2">
        <v>41791</v>
      </c>
      <c r="C131">
        <v>1</v>
      </c>
      <c r="D131" t="s">
        <v>118</v>
      </c>
      <c r="E131" t="s">
        <v>119</v>
      </c>
      <c r="F131" t="s">
        <v>120</v>
      </c>
      <c r="G131" t="s">
        <v>121</v>
      </c>
      <c r="H131">
        <v>99999</v>
      </c>
      <c r="I131" t="s">
        <v>30</v>
      </c>
      <c r="J131" t="s">
        <v>60</v>
      </c>
      <c r="K131" t="s">
        <v>61</v>
      </c>
      <c r="L131" s="2"/>
      <c r="N131" t="s">
        <v>122</v>
      </c>
      <c r="O131" t="s">
        <v>119</v>
      </c>
      <c r="P131" t="s">
        <v>120</v>
      </c>
      <c r="Q131" t="s">
        <v>121</v>
      </c>
      <c r="R131">
        <v>99999</v>
      </c>
      <c r="S131" t="s">
        <v>30</v>
      </c>
      <c r="U131" t="s">
        <v>55</v>
      </c>
      <c r="V131" t="s">
        <v>37</v>
      </c>
      <c r="W131">
        <v>46</v>
      </c>
      <c r="X131">
        <v>22</v>
      </c>
      <c r="Y131" s="4">
        <v>1012</v>
      </c>
      <c r="Z131" s="3">
        <v>101.2</v>
      </c>
    </row>
    <row r="132" spans="1:26" hidden="1" x14ac:dyDescent="0.35">
      <c r="A132">
        <v>1146</v>
      </c>
      <c r="B132" s="2">
        <v>41791</v>
      </c>
      <c r="C132">
        <v>1</v>
      </c>
      <c r="D132" t="s">
        <v>118</v>
      </c>
      <c r="E132" t="s">
        <v>119</v>
      </c>
      <c r="F132" t="s">
        <v>120</v>
      </c>
      <c r="G132" t="s">
        <v>121</v>
      </c>
      <c r="H132">
        <v>99999</v>
      </c>
      <c r="I132" t="s">
        <v>30</v>
      </c>
      <c r="J132" t="s">
        <v>60</v>
      </c>
      <c r="K132" t="s">
        <v>61</v>
      </c>
      <c r="L132" s="2"/>
      <c r="N132" t="s">
        <v>122</v>
      </c>
      <c r="O132" t="s">
        <v>119</v>
      </c>
      <c r="P132" t="s">
        <v>120</v>
      </c>
      <c r="Q132" t="s">
        <v>121</v>
      </c>
      <c r="R132">
        <v>99999</v>
      </c>
      <c r="S132" t="s">
        <v>30</v>
      </c>
      <c r="U132" t="s">
        <v>103</v>
      </c>
      <c r="V132" t="s">
        <v>37</v>
      </c>
      <c r="W132">
        <v>2.99</v>
      </c>
      <c r="X132">
        <v>51</v>
      </c>
      <c r="Y132" s="4">
        <v>152.49</v>
      </c>
      <c r="Z132" s="3">
        <v>14.944020000000002</v>
      </c>
    </row>
    <row r="133" spans="1:26" hidden="1" x14ac:dyDescent="0.35">
      <c r="A133">
        <v>1147</v>
      </c>
      <c r="B133" s="2">
        <v>41818</v>
      </c>
      <c r="C133">
        <v>28</v>
      </c>
      <c r="D133" t="s">
        <v>90</v>
      </c>
      <c r="E133" t="s">
        <v>91</v>
      </c>
      <c r="F133" t="s">
        <v>92</v>
      </c>
      <c r="G133" t="s">
        <v>93</v>
      </c>
      <c r="H133">
        <v>99999</v>
      </c>
      <c r="I133" t="s">
        <v>30</v>
      </c>
      <c r="J133" t="s">
        <v>94</v>
      </c>
      <c r="K133" t="s">
        <v>95</v>
      </c>
      <c r="L133" s="2">
        <v>41820</v>
      </c>
      <c r="M133" t="s">
        <v>62</v>
      </c>
      <c r="N133" t="s">
        <v>96</v>
      </c>
      <c r="O133" t="s">
        <v>91</v>
      </c>
      <c r="P133" t="s">
        <v>92</v>
      </c>
      <c r="Q133" t="s">
        <v>93</v>
      </c>
      <c r="R133">
        <v>99999</v>
      </c>
      <c r="S133" t="s">
        <v>30</v>
      </c>
      <c r="T133" t="s">
        <v>48</v>
      </c>
      <c r="U133" t="s">
        <v>80</v>
      </c>
      <c r="V133" t="s">
        <v>81</v>
      </c>
      <c r="W133">
        <v>9.65</v>
      </c>
      <c r="X133">
        <v>60</v>
      </c>
      <c r="Y133" s="4">
        <v>579</v>
      </c>
      <c r="Z133" s="3">
        <v>57.321000000000005</v>
      </c>
    </row>
    <row r="134" spans="1:26" hidden="1" x14ac:dyDescent="0.35">
      <c r="A134">
        <v>1148</v>
      </c>
      <c r="B134" s="2">
        <v>41818</v>
      </c>
      <c r="C134">
        <v>28</v>
      </c>
      <c r="D134" t="s">
        <v>90</v>
      </c>
      <c r="E134" t="s">
        <v>91</v>
      </c>
      <c r="F134" t="s">
        <v>92</v>
      </c>
      <c r="G134" t="s">
        <v>93</v>
      </c>
      <c r="H134">
        <v>99999</v>
      </c>
      <c r="I134" t="s">
        <v>30</v>
      </c>
      <c r="J134" t="s">
        <v>94</v>
      </c>
      <c r="K134" t="s">
        <v>95</v>
      </c>
      <c r="L134" s="2">
        <v>41820</v>
      </c>
      <c r="M134" t="s">
        <v>62</v>
      </c>
      <c r="N134" t="s">
        <v>96</v>
      </c>
      <c r="O134" t="s">
        <v>91</v>
      </c>
      <c r="P134" t="s">
        <v>92</v>
      </c>
      <c r="Q134" t="s">
        <v>93</v>
      </c>
      <c r="R134">
        <v>99999</v>
      </c>
      <c r="S134" t="s">
        <v>30</v>
      </c>
      <c r="T134" t="s">
        <v>48</v>
      </c>
      <c r="U134" t="s">
        <v>123</v>
      </c>
      <c r="V134" t="s">
        <v>124</v>
      </c>
      <c r="W134">
        <v>18.399999999999999</v>
      </c>
      <c r="X134">
        <v>98</v>
      </c>
      <c r="Y134" s="4">
        <v>1803.1999999999998</v>
      </c>
      <c r="Z134" s="3">
        <v>183.9264</v>
      </c>
    </row>
    <row r="135" spans="1:26" hidden="1" x14ac:dyDescent="0.35">
      <c r="A135">
        <v>1149</v>
      </c>
      <c r="B135" s="2">
        <v>41799</v>
      </c>
      <c r="C135">
        <v>9</v>
      </c>
      <c r="D135" t="s">
        <v>125</v>
      </c>
      <c r="E135" t="s">
        <v>126</v>
      </c>
      <c r="F135" t="s">
        <v>127</v>
      </c>
      <c r="G135" t="s">
        <v>128</v>
      </c>
      <c r="H135">
        <v>99999</v>
      </c>
      <c r="I135" t="s">
        <v>30</v>
      </c>
      <c r="J135" t="s">
        <v>129</v>
      </c>
      <c r="K135" t="s">
        <v>32</v>
      </c>
      <c r="L135" s="2">
        <v>41801</v>
      </c>
      <c r="M135" t="s">
        <v>46</v>
      </c>
      <c r="N135" t="s">
        <v>130</v>
      </c>
      <c r="O135" t="s">
        <v>126</v>
      </c>
      <c r="P135" t="s">
        <v>127</v>
      </c>
      <c r="Q135" t="s">
        <v>128</v>
      </c>
      <c r="R135">
        <v>99999</v>
      </c>
      <c r="S135" t="s">
        <v>30</v>
      </c>
      <c r="T135" t="s">
        <v>35</v>
      </c>
      <c r="U135" t="s">
        <v>131</v>
      </c>
      <c r="V135" t="s">
        <v>132</v>
      </c>
      <c r="W135">
        <v>19.5</v>
      </c>
      <c r="X135">
        <v>27</v>
      </c>
      <c r="Y135" s="4">
        <v>526.5</v>
      </c>
      <c r="Z135" s="3">
        <v>51.070500000000003</v>
      </c>
    </row>
    <row r="136" spans="1:26" hidden="1" x14ac:dyDescent="0.35">
      <c r="A136">
        <v>1150</v>
      </c>
      <c r="B136" s="2">
        <v>41799</v>
      </c>
      <c r="C136">
        <v>9</v>
      </c>
      <c r="D136" t="s">
        <v>125</v>
      </c>
      <c r="E136" t="s">
        <v>126</v>
      </c>
      <c r="F136" t="s">
        <v>127</v>
      </c>
      <c r="G136" t="s">
        <v>128</v>
      </c>
      <c r="H136">
        <v>99999</v>
      </c>
      <c r="I136" t="s">
        <v>30</v>
      </c>
      <c r="J136" t="s">
        <v>129</v>
      </c>
      <c r="K136" t="s">
        <v>32</v>
      </c>
      <c r="L136" s="2">
        <v>41801</v>
      </c>
      <c r="M136" t="s">
        <v>46</v>
      </c>
      <c r="N136" t="s">
        <v>130</v>
      </c>
      <c r="O136" t="s">
        <v>126</v>
      </c>
      <c r="P136" t="s">
        <v>127</v>
      </c>
      <c r="Q136" t="s">
        <v>128</v>
      </c>
      <c r="R136">
        <v>99999</v>
      </c>
      <c r="S136" t="s">
        <v>30</v>
      </c>
      <c r="T136" t="s">
        <v>35</v>
      </c>
      <c r="U136" t="s">
        <v>133</v>
      </c>
      <c r="V136" t="s">
        <v>134</v>
      </c>
      <c r="W136">
        <v>34.799999999999997</v>
      </c>
      <c r="X136">
        <v>88</v>
      </c>
      <c r="Y136" s="4">
        <v>3062.3999999999996</v>
      </c>
      <c r="Z136" s="3">
        <v>303.17759999999993</v>
      </c>
    </row>
    <row r="137" spans="1:26" hidden="1" x14ac:dyDescent="0.35">
      <c r="A137">
        <v>1151</v>
      </c>
      <c r="B137" s="2">
        <v>41796</v>
      </c>
      <c r="C137">
        <v>6</v>
      </c>
      <c r="D137" t="s">
        <v>82</v>
      </c>
      <c r="E137" t="s">
        <v>83</v>
      </c>
      <c r="F137" t="s">
        <v>84</v>
      </c>
      <c r="G137" t="s">
        <v>85</v>
      </c>
      <c r="H137">
        <v>99999</v>
      </c>
      <c r="I137" t="s">
        <v>30</v>
      </c>
      <c r="J137" t="s">
        <v>86</v>
      </c>
      <c r="K137" t="s">
        <v>61</v>
      </c>
      <c r="L137" s="2">
        <v>41798</v>
      </c>
      <c r="M137" t="s">
        <v>33</v>
      </c>
      <c r="N137" t="s">
        <v>87</v>
      </c>
      <c r="O137" t="s">
        <v>83</v>
      </c>
      <c r="P137" t="s">
        <v>84</v>
      </c>
      <c r="Q137" t="s">
        <v>85</v>
      </c>
      <c r="R137">
        <v>99999</v>
      </c>
      <c r="S137" t="s">
        <v>30</v>
      </c>
      <c r="T137" t="s">
        <v>48</v>
      </c>
      <c r="U137" t="s">
        <v>36</v>
      </c>
      <c r="V137" t="s">
        <v>37</v>
      </c>
      <c r="W137">
        <v>14</v>
      </c>
      <c r="X137">
        <v>65</v>
      </c>
      <c r="Y137" s="4">
        <v>910</v>
      </c>
      <c r="Z137" s="3">
        <v>95.55</v>
      </c>
    </row>
    <row r="138" spans="1:26" hidden="1" x14ac:dyDescent="0.35">
      <c r="A138">
        <v>1152</v>
      </c>
      <c r="B138" s="2">
        <v>41798</v>
      </c>
      <c r="C138">
        <v>8</v>
      </c>
      <c r="D138" t="s">
        <v>56</v>
      </c>
      <c r="E138" t="s">
        <v>57</v>
      </c>
      <c r="F138" t="s">
        <v>58</v>
      </c>
      <c r="G138" t="s">
        <v>59</v>
      </c>
      <c r="H138">
        <v>99999</v>
      </c>
      <c r="I138" t="s">
        <v>30</v>
      </c>
      <c r="J138" t="s">
        <v>60</v>
      </c>
      <c r="K138" t="s">
        <v>61</v>
      </c>
      <c r="L138" s="2">
        <v>41800</v>
      </c>
      <c r="M138" t="s">
        <v>33</v>
      </c>
      <c r="N138" t="s">
        <v>63</v>
      </c>
      <c r="O138" t="s">
        <v>57</v>
      </c>
      <c r="P138" t="s">
        <v>58</v>
      </c>
      <c r="Q138" t="s">
        <v>59</v>
      </c>
      <c r="R138">
        <v>99999</v>
      </c>
      <c r="S138" t="s">
        <v>30</v>
      </c>
      <c r="T138" t="s">
        <v>35</v>
      </c>
      <c r="U138" t="s">
        <v>88</v>
      </c>
      <c r="V138" t="s">
        <v>89</v>
      </c>
      <c r="W138">
        <v>40</v>
      </c>
      <c r="X138">
        <v>38</v>
      </c>
      <c r="Y138" s="4">
        <v>1520</v>
      </c>
      <c r="Z138" s="3">
        <v>148.96</v>
      </c>
    </row>
    <row r="139" spans="1:26" hidden="1" x14ac:dyDescent="0.35">
      <c r="A139">
        <v>1153</v>
      </c>
      <c r="B139" s="2">
        <v>41798</v>
      </c>
      <c r="C139">
        <v>8</v>
      </c>
      <c r="D139" t="s">
        <v>56</v>
      </c>
      <c r="E139" t="s">
        <v>57</v>
      </c>
      <c r="F139" t="s">
        <v>58</v>
      </c>
      <c r="G139" t="s">
        <v>59</v>
      </c>
      <c r="H139">
        <v>99999</v>
      </c>
      <c r="I139" t="s">
        <v>30</v>
      </c>
      <c r="J139" t="s">
        <v>60</v>
      </c>
      <c r="K139" t="s">
        <v>61</v>
      </c>
      <c r="L139">
        <v>41800</v>
      </c>
      <c r="M139" t="s">
        <v>33</v>
      </c>
      <c r="N139" t="s">
        <v>63</v>
      </c>
      <c r="O139" t="s">
        <v>57</v>
      </c>
      <c r="P139" t="s">
        <v>58</v>
      </c>
      <c r="Q139" t="s">
        <v>59</v>
      </c>
      <c r="R139">
        <v>99999</v>
      </c>
      <c r="S139" t="s">
        <v>30</v>
      </c>
      <c r="T139" t="s">
        <v>35</v>
      </c>
      <c r="U139" t="s">
        <v>64</v>
      </c>
      <c r="V139" t="s">
        <v>65</v>
      </c>
      <c r="W139" s="3">
        <v>9.1999999999999993</v>
      </c>
      <c r="X139">
        <v>80</v>
      </c>
      <c r="Y139" s="4">
        <v>736</v>
      </c>
      <c r="Z139" s="3">
        <v>70.656000000000006</v>
      </c>
    </row>
    <row r="140" spans="1:26" hidden="1" x14ac:dyDescent="0.35">
      <c r="A140">
        <v>1154</v>
      </c>
      <c r="B140" s="2">
        <v>41815</v>
      </c>
      <c r="C140">
        <v>25</v>
      </c>
      <c r="D140" t="s">
        <v>137</v>
      </c>
      <c r="E140" t="s">
        <v>138</v>
      </c>
      <c r="F140" t="s">
        <v>99</v>
      </c>
      <c r="G140" t="s">
        <v>100</v>
      </c>
      <c r="H140">
        <v>99999</v>
      </c>
      <c r="I140" t="s">
        <v>30</v>
      </c>
      <c r="J140" t="s">
        <v>101</v>
      </c>
      <c r="K140" t="s">
        <v>45</v>
      </c>
      <c r="L140" s="2">
        <v>41817</v>
      </c>
      <c r="M140" t="s">
        <v>46</v>
      </c>
      <c r="N140" t="s">
        <v>139</v>
      </c>
      <c r="O140" t="s">
        <v>138</v>
      </c>
      <c r="P140" t="s">
        <v>99</v>
      </c>
      <c r="Q140" t="s">
        <v>100</v>
      </c>
      <c r="R140">
        <v>99999</v>
      </c>
      <c r="S140" t="s">
        <v>30</v>
      </c>
      <c r="T140" t="s">
        <v>79</v>
      </c>
      <c r="U140" t="s">
        <v>146</v>
      </c>
      <c r="V140" t="s">
        <v>65</v>
      </c>
      <c r="W140" s="3">
        <v>10</v>
      </c>
      <c r="X140">
        <v>49</v>
      </c>
      <c r="Y140" s="4">
        <v>490</v>
      </c>
      <c r="Z140" s="3">
        <v>47.04</v>
      </c>
    </row>
    <row r="141" spans="1:26" hidden="1" x14ac:dyDescent="0.35">
      <c r="A141">
        <v>1155</v>
      </c>
      <c r="B141" s="2">
        <v>41816</v>
      </c>
      <c r="C141">
        <v>26</v>
      </c>
      <c r="D141" t="s">
        <v>140</v>
      </c>
      <c r="E141" t="s">
        <v>141</v>
      </c>
      <c r="F141" t="s">
        <v>115</v>
      </c>
      <c r="G141" t="s">
        <v>116</v>
      </c>
      <c r="H141">
        <v>99999</v>
      </c>
      <c r="I141" t="s">
        <v>30</v>
      </c>
      <c r="J141" t="s">
        <v>94</v>
      </c>
      <c r="K141" t="s">
        <v>95</v>
      </c>
      <c r="L141" s="2">
        <v>41818</v>
      </c>
      <c r="M141" t="s">
        <v>62</v>
      </c>
      <c r="N141" t="s">
        <v>142</v>
      </c>
      <c r="O141" t="s">
        <v>141</v>
      </c>
      <c r="P141" t="s">
        <v>115</v>
      </c>
      <c r="Q141" t="s">
        <v>116</v>
      </c>
      <c r="R141">
        <v>99999</v>
      </c>
      <c r="S141" t="s">
        <v>30</v>
      </c>
      <c r="T141" t="s">
        <v>48</v>
      </c>
      <c r="U141" t="s">
        <v>147</v>
      </c>
      <c r="V141" t="s">
        <v>148</v>
      </c>
      <c r="W141" s="3">
        <v>21.35</v>
      </c>
      <c r="X141">
        <v>90</v>
      </c>
      <c r="Y141" s="4">
        <v>1921.5000000000002</v>
      </c>
      <c r="Z141" s="3">
        <v>186.38550000000004</v>
      </c>
    </row>
    <row r="142" spans="1:26" hidden="1" x14ac:dyDescent="0.35">
      <c r="A142">
        <v>1156</v>
      </c>
      <c r="B142" s="2">
        <v>41816</v>
      </c>
      <c r="C142">
        <v>26</v>
      </c>
      <c r="D142" t="s">
        <v>140</v>
      </c>
      <c r="E142" t="s">
        <v>141</v>
      </c>
      <c r="F142" t="s">
        <v>115</v>
      </c>
      <c r="G142" t="s">
        <v>116</v>
      </c>
      <c r="H142">
        <v>99999</v>
      </c>
      <c r="I142" t="s">
        <v>30</v>
      </c>
      <c r="J142" t="s">
        <v>94</v>
      </c>
      <c r="K142" t="s">
        <v>95</v>
      </c>
      <c r="L142" s="2">
        <v>41818</v>
      </c>
      <c r="M142" t="s">
        <v>62</v>
      </c>
      <c r="N142" t="s">
        <v>142</v>
      </c>
      <c r="O142" t="s">
        <v>141</v>
      </c>
      <c r="P142" t="s">
        <v>115</v>
      </c>
      <c r="Q142" t="s">
        <v>116</v>
      </c>
      <c r="R142">
        <v>99999</v>
      </c>
      <c r="S142" t="s">
        <v>30</v>
      </c>
      <c r="T142" t="s">
        <v>48</v>
      </c>
      <c r="U142" t="s">
        <v>80</v>
      </c>
      <c r="V142" t="s">
        <v>81</v>
      </c>
      <c r="W142" s="3">
        <v>9.65</v>
      </c>
      <c r="X142">
        <v>60</v>
      </c>
      <c r="Y142" s="4">
        <v>579</v>
      </c>
      <c r="Z142" s="3">
        <v>59.637000000000008</v>
      </c>
    </row>
    <row r="143" spans="1:26" hidden="1" x14ac:dyDescent="0.35">
      <c r="A143">
        <v>1157</v>
      </c>
      <c r="B143" s="2">
        <v>41816</v>
      </c>
      <c r="C143">
        <v>26</v>
      </c>
      <c r="D143" t="s">
        <v>140</v>
      </c>
      <c r="E143" t="s">
        <v>141</v>
      </c>
      <c r="F143" t="s">
        <v>115</v>
      </c>
      <c r="G143" t="s">
        <v>116</v>
      </c>
      <c r="H143">
        <v>99999</v>
      </c>
      <c r="I143" t="s">
        <v>30</v>
      </c>
      <c r="J143" t="s">
        <v>94</v>
      </c>
      <c r="K143" t="s">
        <v>95</v>
      </c>
      <c r="L143">
        <v>41818</v>
      </c>
      <c r="M143" t="s">
        <v>62</v>
      </c>
      <c r="N143" t="s">
        <v>142</v>
      </c>
      <c r="O143" t="s">
        <v>141</v>
      </c>
      <c r="P143" t="s">
        <v>115</v>
      </c>
      <c r="Q143" t="s">
        <v>116</v>
      </c>
      <c r="R143">
        <v>99999</v>
      </c>
      <c r="S143" t="s">
        <v>30</v>
      </c>
      <c r="T143" t="s">
        <v>48</v>
      </c>
      <c r="U143" t="s">
        <v>123</v>
      </c>
      <c r="V143" t="s">
        <v>124</v>
      </c>
      <c r="W143" s="3">
        <v>18.399999999999999</v>
      </c>
      <c r="X143">
        <v>39</v>
      </c>
      <c r="Y143" s="4">
        <v>717.59999999999991</v>
      </c>
      <c r="Z143" s="3">
        <v>71.759999999999991</v>
      </c>
    </row>
    <row r="144" spans="1:26" hidden="1" x14ac:dyDescent="0.35">
      <c r="A144">
        <v>1158</v>
      </c>
      <c r="B144" s="2">
        <v>41819</v>
      </c>
      <c r="C144">
        <v>29</v>
      </c>
      <c r="D144" t="s">
        <v>66</v>
      </c>
      <c r="E144" t="s">
        <v>67</v>
      </c>
      <c r="F144" t="s">
        <v>68</v>
      </c>
      <c r="G144" t="s">
        <v>69</v>
      </c>
      <c r="H144">
        <v>99999</v>
      </c>
      <c r="I144" t="s">
        <v>30</v>
      </c>
      <c r="J144" t="s">
        <v>70</v>
      </c>
      <c r="K144" t="s">
        <v>32</v>
      </c>
      <c r="L144">
        <v>41821</v>
      </c>
      <c r="M144" t="s">
        <v>33</v>
      </c>
      <c r="N144" t="s">
        <v>71</v>
      </c>
      <c r="O144" t="s">
        <v>67</v>
      </c>
      <c r="P144" t="s">
        <v>68</v>
      </c>
      <c r="Q144" t="s">
        <v>69</v>
      </c>
      <c r="R144">
        <v>99999</v>
      </c>
      <c r="S144" t="s">
        <v>30</v>
      </c>
      <c r="T144" t="s">
        <v>35</v>
      </c>
      <c r="U144" t="s">
        <v>36</v>
      </c>
      <c r="V144" t="s">
        <v>37</v>
      </c>
      <c r="W144" s="3">
        <v>14</v>
      </c>
      <c r="X144">
        <v>79</v>
      </c>
      <c r="Y144" s="4">
        <v>1106</v>
      </c>
      <c r="Z144" s="3">
        <v>113.91800000000001</v>
      </c>
    </row>
    <row r="145" spans="1:26" hidden="1" x14ac:dyDescent="0.35">
      <c r="A145">
        <v>1159</v>
      </c>
      <c r="B145" s="2">
        <v>41796</v>
      </c>
      <c r="C145">
        <v>6</v>
      </c>
      <c r="D145" t="s">
        <v>82</v>
      </c>
      <c r="E145" t="s">
        <v>83</v>
      </c>
      <c r="F145" t="s">
        <v>84</v>
      </c>
      <c r="G145" t="s">
        <v>85</v>
      </c>
      <c r="H145">
        <v>99999</v>
      </c>
      <c r="I145" t="s">
        <v>30</v>
      </c>
      <c r="J145" t="s">
        <v>86</v>
      </c>
      <c r="K145" t="s">
        <v>61</v>
      </c>
      <c r="L145">
        <v>41798</v>
      </c>
      <c r="M145" t="s">
        <v>62</v>
      </c>
      <c r="N145" t="s">
        <v>87</v>
      </c>
      <c r="O145" t="s">
        <v>83</v>
      </c>
      <c r="P145" t="s">
        <v>84</v>
      </c>
      <c r="Q145" t="s">
        <v>85</v>
      </c>
      <c r="R145">
        <v>99999</v>
      </c>
      <c r="S145" t="s">
        <v>30</v>
      </c>
      <c r="T145" t="s">
        <v>35</v>
      </c>
      <c r="U145" t="s">
        <v>72</v>
      </c>
      <c r="V145" t="s">
        <v>73</v>
      </c>
      <c r="W145" s="3">
        <v>12.75</v>
      </c>
      <c r="X145">
        <v>44</v>
      </c>
      <c r="Y145" s="4">
        <v>561</v>
      </c>
      <c r="Z145" s="3">
        <v>57.222000000000001</v>
      </c>
    </row>
    <row r="146" spans="1:26" hidden="1" x14ac:dyDescent="0.35">
      <c r="A146">
        <v>1161</v>
      </c>
      <c r="B146" s="2">
        <v>41794</v>
      </c>
      <c r="C146">
        <v>4</v>
      </c>
      <c r="D146" t="s">
        <v>40</v>
      </c>
      <c r="E146" t="s">
        <v>41</v>
      </c>
      <c r="F146" t="s">
        <v>42</v>
      </c>
      <c r="G146" t="s">
        <v>43</v>
      </c>
      <c r="H146">
        <v>99999</v>
      </c>
      <c r="I146" t="s">
        <v>30</v>
      </c>
      <c r="J146" t="s">
        <v>44</v>
      </c>
      <c r="K146" t="s">
        <v>45</v>
      </c>
      <c r="L146">
        <v>41796</v>
      </c>
      <c r="M146" t="s">
        <v>46</v>
      </c>
      <c r="N146" t="s">
        <v>47</v>
      </c>
      <c r="O146" t="s">
        <v>41</v>
      </c>
      <c r="P146" t="s">
        <v>42</v>
      </c>
      <c r="Q146" t="s">
        <v>43</v>
      </c>
      <c r="R146">
        <v>99999</v>
      </c>
      <c r="S146" t="s">
        <v>30</v>
      </c>
      <c r="T146" t="s">
        <v>48</v>
      </c>
      <c r="U146" t="s">
        <v>149</v>
      </c>
      <c r="V146" t="s">
        <v>110</v>
      </c>
      <c r="W146" s="3">
        <v>81</v>
      </c>
      <c r="X146">
        <v>98</v>
      </c>
      <c r="Y146" s="4">
        <v>7938</v>
      </c>
      <c r="Z146" s="3">
        <v>769.98599999999999</v>
      </c>
    </row>
    <row r="147" spans="1:26" hidden="1" x14ac:dyDescent="0.35">
      <c r="A147">
        <v>1162</v>
      </c>
      <c r="B147" s="2">
        <v>41794</v>
      </c>
      <c r="C147">
        <v>4</v>
      </c>
      <c r="D147" t="s">
        <v>40</v>
      </c>
      <c r="E147" t="s">
        <v>41</v>
      </c>
      <c r="F147" t="s">
        <v>42</v>
      </c>
      <c r="G147" t="s">
        <v>43</v>
      </c>
      <c r="H147">
        <v>99999</v>
      </c>
      <c r="I147" t="s">
        <v>30</v>
      </c>
      <c r="J147" t="s">
        <v>44</v>
      </c>
      <c r="K147" t="s">
        <v>45</v>
      </c>
      <c r="L147">
        <v>41796</v>
      </c>
      <c r="M147" t="s">
        <v>46</v>
      </c>
      <c r="N147" t="s">
        <v>47</v>
      </c>
      <c r="O147" t="s">
        <v>41</v>
      </c>
      <c r="P147" t="s">
        <v>42</v>
      </c>
      <c r="Q147" t="s">
        <v>43</v>
      </c>
      <c r="R147">
        <v>99999</v>
      </c>
      <c r="S147" t="s">
        <v>30</v>
      </c>
      <c r="T147" t="s">
        <v>48</v>
      </c>
      <c r="U147" t="s">
        <v>150</v>
      </c>
      <c r="V147" t="s">
        <v>151</v>
      </c>
      <c r="W147" s="3">
        <v>7</v>
      </c>
      <c r="X147">
        <v>61</v>
      </c>
      <c r="Y147" s="4">
        <v>427</v>
      </c>
      <c r="Z147" s="3">
        <v>42.273000000000003</v>
      </c>
    </row>
    <row r="148" spans="1:26" hidden="1" x14ac:dyDescent="0.35">
      <c r="A148">
        <v>1164</v>
      </c>
      <c r="B148" s="2">
        <v>41798</v>
      </c>
      <c r="C148">
        <v>8</v>
      </c>
      <c r="D148" t="s">
        <v>56</v>
      </c>
      <c r="E148" t="s">
        <v>57</v>
      </c>
      <c r="F148" t="s">
        <v>58</v>
      </c>
      <c r="G148" t="s">
        <v>59</v>
      </c>
      <c r="H148">
        <v>99999</v>
      </c>
      <c r="I148" t="s">
        <v>30</v>
      </c>
      <c r="J148" t="s">
        <v>60</v>
      </c>
      <c r="K148" t="s">
        <v>61</v>
      </c>
      <c r="L148" s="2">
        <v>41800</v>
      </c>
      <c r="M148" t="s">
        <v>62</v>
      </c>
      <c r="N148" t="s">
        <v>63</v>
      </c>
      <c r="O148" t="s">
        <v>57</v>
      </c>
      <c r="P148" t="s">
        <v>58</v>
      </c>
      <c r="Q148" t="s">
        <v>59</v>
      </c>
      <c r="R148">
        <v>99999</v>
      </c>
      <c r="S148" t="s">
        <v>30</v>
      </c>
      <c r="T148" t="s">
        <v>48</v>
      </c>
      <c r="U148" t="s">
        <v>133</v>
      </c>
      <c r="V148" t="s">
        <v>134</v>
      </c>
      <c r="W148" s="3">
        <v>34.799999999999997</v>
      </c>
      <c r="X148">
        <v>30</v>
      </c>
      <c r="Y148" s="4">
        <v>1044</v>
      </c>
      <c r="Z148" s="3">
        <v>109.62</v>
      </c>
    </row>
    <row r="149" spans="1:26" hidden="1" x14ac:dyDescent="0.35">
      <c r="A149">
        <v>1167</v>
      </c>
      <c r="B149" s="2">
        <v>41793</v>
      </c>
      <c r="C149">
        <v>3</v>
      </c>
      <c r="D149" t="s">
        <v>74</v>
      </c>
      <c r="E149" t="s">
        <v>75</v>
      </c>
      <c r="F149" t="s">
        <v>76</v>
      </c>
      <c r="G149" t="s">
        <v>77</v>
      </c>
      <c r="H149">
        <v>99999</v>
      </c>
      <c r="I149" t="s">
        <v>30</v>
      </c>
      <c r="J149" t="s">
        <v>31</v>
      </c>
      <c r="K149" t="s">
        <v>32</v>
      </c>
      <c r="L149" s="2">
        <v>41795</v>
      </c>
      <c r="M149" t="s">
        <v>33</v>
      </c>
      <c r="N149" t="s">
        <v>78</v>
      </c>
      <c r="O149" t="s">
        <v>75</v>
      </c>
      <c r="P149" t="s">
        <v>76</v>
      </c>
      <c r="Q149" t="s">
        <v>77</v>
      </c>
      <c r="R149">
        <v>99999</v>
      </c>
      <c r="S149" t="s">
        <v>30</v>
      </c>
      <c r="T149" t="s">
        <v>79</v>
      </c>
      <c r="U149" t="s">
        <v>135</v>
      </c>
      <c r="V149" t="s">
        <v>112</v>
      </c>
      <c r="W149" s="3">
        <v>10</v>
      </c>
      <c r="X149">
        <v>24</v>
      </c>
      <c r="Y149" s="4">
        <v>240</v>
      </c>
      <c r="Z149" s="3">
        <v>25.200000000000003</v>
      </c>
    </row>
    <row r="150" spans="1:26" hidden="1" x14ac:dyDescent="0.35">
      <c r="A150">
        <v>1168</v>
      </c>
      <c r="B150" s="2">
        <v>41793</v>
      </c>
      <c r="C150">
        <v>3</v>
      </c>
      <c r="D150" t="s">
        <v>74</v>
      </c>
      <c r="E150" t="s">
        <v>75</v>
      </c>
      <c r="F150" t="s">
        <v>76</v>
      </c>
      <c r="G150" t="s">
        <v>77</v>
      </c>
      <c r="H150">
        <v>99999</v>
      </c>
      <c r="I150" t="s">
        <v>30</v>
      </c>
      <c r="J150" t="s">
        <v>31</v>
      </c>
      <c r="K150" t="s">
        <v>32</v>
      </c>
      <c r="L150" s="2">
        <v>41795</v>
      </c>
      <c r="M150" t="s">
        <v>33</v>
      </c>
      <c r="N150" t="s">
        <v>78</v>
      </c>
      <c r="O150" t="s">
        <v>75</v>
      </c>
      <c r="P150" t="s">
        <v>76</v>
      </c>
      <c r="Q150" t="s">
        <v>77</v>
      </c>
      <c r="R150">
        <v>99999</v>
      </c>
      <c r="S150" t="s">
        <v>30</v>
      </c>
      <c r="T150" t="s">
        <v>79</v>
      </c>
      <c r="U150" t="s">
        <v>88</v>
      </c>
      <c r="V150" t="s">
        <v>89</v>
      </c>
      <c r="W150" s="3">
        <v>40</v>
      </c>
      <c r="X150">
        <v>28</v>
      </c>
      <c r="Y150" s="4">
        <v>1120</v>
      </c>
      <c r="Z150" s="3">
        <v>109.75999999999999</v>
      </c>
    </row>
    <row r="151" spans="1:26" hidden="1" x14ac:dyDescent="0.35">
      <c r="A151">
        <v>1172</v>
      </c>
      <c r="B151" s="2">
        <v>41800</v>
      </c>
      <c r="C151">
        <v>10</v>
      </c>
      <c r="D151" t="s">
        <v>97</v>
      </c>
      <c r="E151" t="s">
        <v>98</v>
      </c>
      <c r="F151" t="s">
        <v>99</v>
      </c>
      <c r="G151" t="s">
        <v>100</v>
      </c>
      <c r="H151">
        <v>99999</v>
      </c>
      <c r="I151" t="s">
        <v>30</v>
      </c>
      <c r="J151" t="s">
        <v>101</v>
      </c>
      <c r="K151" t="s">
        <v>45</v>
      </c>
      <c r="L151" s="2">
        <v>41802</v>
      </c>
      <c r="M151" t="s">
        <v>33</v>
      </c>
      <c r="N151" t="s">
        <v>102</v>
      </c>
      <c r="O151" t="s">
        <v>98</v>
      </c>
      <c r="P151" t="s">
        <v>99</v>
      </c>
      <c r="Q151" t="s">
        <v>100</v>
      </c>
      <c r="R151">
        <v>99999</v>
      </c>
      <c r="S151" t="s">
        <v>30</v>
      </c>
      <c r="T151" t="s">
        <v>48</v>
      </c>
      <c r="U151" t="s">
        <v>136</v>
      </c>
      <c r="V151" t="s">
        <v>39</v>
      </c>
      <c r="W151" s="3">
        <v>10</v>
      </c>
      <c r="X151">
        <v>74</v>
      </c>
      <c r="Y151" s="4">
        <v>740</v>
      </c>
      <c r="Z151" s="3">
        <v>71.78</v>
      </c>
    </row>
    <row r="152" spans="1:26" hidden="1" x14ac:dyDescent="0.35">
      <c r="A152">
        <v>1174</v>
      </c>
      <c r="B152" s="2">
        <v>41800</v>
      </c>
      <c r="C152">
        <v>10</v>
      </c>
      <c r="D152" t="s">
        <v>97</v>
      </c>
      <c r="E152" t="s">
        <v>98</v>
      </c>
      <c r="F152" t="s">
        <v>99</v>
      </c>
      <c r="G152" t="s">
        <v>100</v>
      </c>
      <c r="H152">
        <v>99999</v>
      </c>
      <c r="I152" t="s">
        <v>30</v>
      </c>
      <c r="J152" t="s">
        <v>101</v>
      </c>
      <c r="K152" t="s">
        <v>45</v>
      </c>
      <c r="L152" s="2"/>
      <c r="M152" t="s">
        <v>46</v>
      </c>
      <c r="N152" t="s">
        <v>102</v>
      </c>
      <c r="O152" t="s">
        <v>98</v>
      </c>
      <c r="P152" t="s">
        <v>99</v>
      </c>
      <c r="Q152" t="s">
        <v>100</v>
      </c>
      <c r="R152">
        <v>99999</v>
      </c>
      <c r="S152" t="s">
        <v>30</v>
      </c>
      <c r="U152" t="s">
        <v>38</v>
      </c>
      <c r="V152" t="s">
        <v>39</v>
      </c>
      <c r="W152" s="3">
        <v>3.5</v>
      </c>
      <c r="X152">
        <v>90</v>
      </c>
      <c r="Y152" s="4">
        <v>315</v>
      </c>
      <c r="Z152" s="3">
        <v>30.24</v>
      </c>
    </row>
    <row r="153" spans="1:26" hidden="1" x14ac:dyDescent="0.35">
      <c r="A153">
        <v>1175</v>
      </c>
      <c r="B153" s="2">
        <v>41801</v>
      </c>
      <c r="C153">
        <v>11</v>
      </c>
      <c r="D153" t="s">
        <v>113</v>
      </c>
      <c r="E153" t="s">
        <v>114</v>
      </c>
      <c r="F153" t="s">
        <v>115</v>
      </c>
      <c r="G153" t="s">
        <v>116</v>
      </c>
      <c r="H153">
        <v>99999</v>
      </c>
      <c r="I153" t="s">
        <v>30</v>
      </c>
      <c r="J153" t="s">
        <v>94</v>
      </c>
      <c r="K153" t="s">
        <v>95</v>
      </c>
      <c r="L153" s="2"/>
      <c r="M153" t="s">
        <v>62</v>
      </c>
      <c r="N153" t="s">
        <v>117</v>
      </c>
      <c r="O153" t="s">
        <v>114</v>
      </c>
      <c r="P153" t="s">
        <v>115</v>
      </c>
      <c r="Q153" t="s">
        <v>116</v>
      </c>
      <c r="R153">
        <v>99999</v>
      </c>
      <c r="S153" t="s">
        <v>30</v>
      </c>
      <c r="U153" t="s">
        <v>88</v>
      </c>
      <c r="V153" t="s">
        <v>89</v>
      </c>
      <c r="W153" s="3">
        <v>40</v>
      </c>
      <c r="X153">
        <v>27</v>
      </c>
      <c r="Y153" s="4">
        <v>1080</v>
      </c>
      <c r="Z153" s="3">
        <v>111.24000000000001</v>
      </c>
    </row>
    <row r="154" spans="1:26" hidden="1" x14ac:dyDescent="0.35">
      <c r="A154">
        <v>1176</v>
      </c>
      <c r="B154" s="2">
        <v>41791</v>
      </c>
      <c r="C154">
        <v>1</v>
      </c>
      <c r="D154" t="s">
        <v>118</v>
      </c>
      <c r="E154" t="s">
        <v>119</v>
      </c>
      <c r="F154" t="s">
        <v>120</v>
      </c>
      <c r="G154" t="s">
        <v>121</v>
      </c>
      <c r="H154">
        <v>99999</v>
      </c>
      <c r="I154" t="s">
        <v>30</v>
      </c>
      <c r="J154" t="s">
        <v>60</v>
      </c>
      <c r="K154" t="s">
        <v>61</v>
      </c>
      <c r="L154" s="2"/>
      <c r="M154" t="s">
        <v>62</v>
      </c>
      <c r="N154" t="s">
        <v>122</v>
      </c>
      <c r="O154" t="s">
        <v>119</v>
      </c>
      <c r="P154" t="s">
        <v>120</v>
      </c>
      <c r="Q154" t="s">
        <v>121</v>
      </c>
      <c r="R154">
        <v>99999</v>
      </c>
      <c r="S154" t="s">
        <v>30</v>
      </c>
      <c r="U154" t="s">
        <v>123</v>
      </c>
      <c r="V154" t="s">
        <v>124</v>
      </c>
      <c r="W154" s="3">
        <v>18.399999999999999</v>
      </c>
      <c r="X154">
        <v>71</v>
      </c>
      <c r="Y154" s="4">
        <v>1306.3999999999999</v>
      </c>
      <c r="Z154" s="3">
        <v>137.172</v>
      </c>
    </row>
    <row r="155" spans="1:26" hidden="1" x14ac:dyDescent="0.35">
      <c r="A155">
        <v>1177</v>
      </c>
      <c r="B155" s="2">
        <v>41818</v>
      </c>
      <c r="C155">
        <v>28</v>
      </c>
      <c r="D155" t="s">
        <v>90</v>
      </c>
      <c r="E155" t="s">
        <v>91</v>
      </c>
      <c r="F155" t="s">
        <v>92</v>
      </c>
      <c r="G155" t="s">
        <v>93</v>
      </c>
      <c r="H155">
        <v>99999</v>
      </c>
      <c r="I155" t="s">
        <v>30</v>
      </c>
      <c r="J155" t="s">
        <v>94</v>
      </c>
      <c r="K155" t="s">
        <v>95</v>
      </c>
      <c r="L155" s="2">
        <v>41820</v>
      </c>
      <c r="M155" t="s">
        <v>62</v>
      </c>
      <c r="N155" t="s">
        <v>96</v>
      </c>
      <c r="O155" t="s">
        <v>91</v>
      </c>
      <c r="P155" t="s">
        <v>92</v>
      </c>
      <c r="Q155" t="s">
        <v>93</v>
      </c>
      <c r="R155">
        <v>99999</v>
      </c>
      <c r="S155" t="s">
        <v>30</v>
      </c>
      <c r="T155" t="s">
        <v>48</v>
      </c>
      <c r="U155" t="s">
        <v>55</v>
      </c>
      <c r="V155" t="s">
        <v>37</v>
      </c>
      <c r="W155" s="3">
        <v>46</v>
      </c>
      <c r="X155">
        <v>74</v>
      </c>
      <c r="Y155" s="4">
        <v>3404</v>
      </c>
      <c r="Z155" s="3">
        <v>340.40000000000003</v>
      </c>
    </row>
    <row r="156" spans="1:26" hidden="1" x14ac:dyDescent="0.35">
      <c r="A156">
        <v>1178</v>
      </c>
      <c r="B156" s="2">
        <v>41799</v>
      </c>
      <c r="C156">
        <v>9</v>
      </c>
      <c r="D156" t="s">
        <v>125</v>
      </c>
      <c r="E156" t="s">
        <v>126</v>
      </c>
      <c r="F156" t="s">
        <v>127</v>
      </c>
      <c r="G156" t="s">
        <v>128</v>
      </c>
      <c r="H156">
        <v>99999</v>
      </c>
      <c r="I156" t="s">
        <v>30</v>
      </c>
      <c r="J156" t="s">
        <v>129</v>
      </c>
      <c r="K156" t="s">
        <v>32</v>
      </c>
      <c r="L156" s="2">
        <v>41801</v>
      </c>
      <c r="M156" t="s">
        <v>46</v>
      </c>
      <c r="N156" t="s">
        <v>130</v>
      </c>
      <c r="O156" t="s">
        <v>126</v>
      </c>
      <c r="P156" t="s">
        <v>127</v>
      </c>
      <c r="Q156" t="s">
        <v>128</v>
      </c>
      <c r="R156">
        <v>99999</v>
      </c>
      <c r="S156" t="s">
        <v>30</v>
      </c>
      <c r="T156" t="s">
        <v>35</v>
      </c>
      <c r="U156" t="s">
        <v>80</v>
      </c>
      <c r="V156" t="s">
        <v>81</v>
      </c>
      <c r="W156" s="3">
        <v>9.65</v>
      </c>
      <c r="X156">
        <v>76</v>
      </c>
      <c r="Y156" s="4">
        <v>733.4</v>
      </c>
      <c r="Z156" s="3">
        <v>72.6066</v>
      </c>
    </row>
    <row r="157" spans="1:26" hidden="1" x14ac:dyDescent="0.35">
      <c r="A157">
        <v>1179</v>
      </c>
      <c r="B157" s="2">
        <v>41796</v>
      </c>
      <c r="C157">
        <v>6</v>
      </c>
      <c r="D157" t="s">
        <v>82</v>
      </c>
      <c r="E157" t="s">
        <v>83</v>
      </c>
      <c r="F157" t="s">
        <v>84</v>
      </c>
      <c r="G157" t="s">
        <v>85</v>
      </c>
      <c r="H157">
        <v>99999</v>
      </c>
      <c r="I157" t="s">
        <v>30</v>
      </c>
      <c r="J157" t="s">
        <v>86</v>
      </c>
      <c r="K157" t="s">
        <v>61</v>
      </c>
      <c r="L157" s="2">
        <v>41798</v>
      </c>
      <c r="M157" t="s">
        <v>33</v>
      </c>
      <c r="N157" t="s">
        <v>87</v>
      </c>
      <c r="O157" t="s">
        <v>83</v>
      </c>
      <c r="P157" t="s">
        <v>84</v>
      </c>
      <c r="Q157" t="s">
        <v>85</v>
      </c>
      <c r="R157">
        <v>99999</v>
      </c>
      <c r="S157" t="s">
        <v>30</v>
      </c>
      <c r="T157" t="s">
        <v>48</v>
      </c>
      <c r="U157" t="s">
        <v>72</v>
      </c>
      <c r="V157" t="s">
        <v>73</v>
      </c>
      <c r="W157" s="3">
        <v>12.75</v>
      </c>
      <c r="X157">
        <v>96</v>
      </c>
      <c r="Y157" s="4">
        <v>1224</v>
      </c>
      <c r="Z157" s="3">
        <v>123.62400000000001</v>
      </c>
    </row>
    <row r="158" spans="1:26" hidden="1" x14ac:dyDescent="0.35">
      <c r="A158">
        <v>1180</v>
      </c>
      <c r="B158" s="2">
        <v>41798</v>
      </c>
      <c r="C158">
        <v>8</v>
      </c>
      <c r="D158" t="s">
        <v>56</v>
      </c>
      <c r="E158" t="s">
        <v>57</v>
      </c>
      <c r="F158" t="s">
        <v>58</v>
      </c>
      <c r="G158" t="s">
        <v>59</v>
      </c>
      <c r="H158">
        <v>99999</v>
      </c>
      <c r="I158" t="s">
        <v>30</v>
      </c>
      <c r="J158" t="s">
        <v>60</v>
      </c>
      <c r="K158" t="s">
        <v>61</v>
      </c>
      <c r="L158" s="2">
        <v>41800</v>
      </c>
      <c r="M158" t="s">
        <v>33</v>
      </c>
      <c r="N158" t="s">
        <v>63</v>
      </c>
      <c r="O158" t="s">
        <v>57</v>
      </c>
      <c r="P158" t="s">
        <v>58</v>
      </c>
      <c r="Q158" t="s">
        <v>59</v>
      </c>
      <c r="R158">
        <v>99999</v>
      </c>
      <c r="S158" t="s">
        <v>30</v>
      </c>
      <c r="T158" t="s">
        <v>35</v>
      </c>
      <c r="U158" t="s">
        <v>72</v>
      </c>
      <c r="V158" t="s">
        <v>73</v>
      </c>
      <c r="W158" s="3">
        <v>12.75</v>
      </c>
      <c r="X158">
        <v>92</v>
      </c>
      <c r="Y158" s="4">
        <v>1173</v>
      </c>
      <c r="Z158" s="3">
        <v>116.12700000000001</v>
      </c>
    </row>
    <row r="159" spans="1:26" hidden="1" x14ac:dyDescent="0.35">
      <c r="A159">
        <v>1181</v>
      </c>
      <c r="B159" s="2">
        <v>41815</v>
      </c>
      <c r="C159">
        <v>25</v>
      </c>
      <c r="D159" t="s">
        <v>137</v>
      </c>
      <c r="E159" t="s">
        <v>138</v>
      </c>
      <c r="F159" t="s">
        <v>99</v>
      </c>
      <c r="G159" t="s">
        <v>100</v>
      </c>
      <c r="H159">
        <v>99999</v>
      </c>
      <c r="I159" t="s">
        <v>30</v>
      </c>
      <c r="J159" t="s">
        <v>101</v>
      </c>
      <c r="K159" t="s">
        <v>45</v>
      </c>
      <c r="L159" s="2">
        <v>41817</v>
      </c>
      <c r="M159" t="s">
        <v>46</v>
      </c>
      <c r="N159" t="s">
        <v>139</v>
      </c>
      <c r="O159" t="s">
        <v>138</v>
      </c>
      <c r="P159" t="s">
        <v>99</v>
      </c>
      <c r="Q159" t="s">
        <v>100</v>
      </c>
      <c r="R159">
        <v>99999</v>
      </c>
      <c r="S159" t="s">
        <v>30</v>
      </c>
      <c r="T159" t="s">
        <v>79</v>
      </c>
      <c r="U159" t="s">
        <v>111</v>
      </c>
      <c r="V159" t="s">
        <v>112</v>
      </c>
      <c r="W159" s="3">
        <v>22</v>
      </c>
      <c r="X159">
        <v>93</v>
      </c>
      <c r="Y159" s="4">
        <v>2046</v>
      </c>
      <c r="Z159" s="3">
        <v>200.50800000000001</v>
      </c>
    </row>
    <row r="160" spans="1:26" hidden="1" x14ac:dyDescent="0.35">
      <c r="A160">
        <v>1182</v>
      </c>
      <c r="B160" s="2">
        <v>41816</v>
      </c>
      <c r="C160">
        <v>26</v>
      </c>
      <c r="D160" t="s">
        <v>140</v>
      </c>
      <c r="E160" t="s">
        <v>141</v>
      </c>
      <c r="F160" t="s">
        <v>115</v>
      </c>
      <c r="G160" t="s">
        <v>116</v>
      </c>
      <c r="H160">
        <v>99999</v>
      </c>
      <c r="I160" t="s">
        <v>30</v>
      </c>
      <c r="J160" t="s">
        <v>94</v>
      </c>
      <c r="K160" t="s">
        <v>95</v>
      </c>
      <c r="L160" s="2">
        <v>41818</v>
      </c>
      <c r="M160" t="s">
        <v>62</v>
      </c>
      <c r="N160" t="s">
        <v>142</v>
      </c>
      <c r="O160" t="s">
        <v>141</v>
      </c>
      <c r="P160" t="s">
        <v>115</v>
      </c>
      <c r="Q160" t="s">
        <v>116</v>
      </c>
      <c r="R160">
        <v>99999</v>
      </c>
      <c r="S160" t="s">
        <v>30</v>
      </c>
      <c r="T160" t="s">
        <v>48</v>
      </c>
      <c r="U160" t="s">
        <v>109</v>
      </c>
      <c r="V160" t="s">
        <v>110</v>
      </c>
      <c r="W160" s="3">
        <v>25</v>
      </c>
      <c r="X160">
        <v>18</v>
      </c>
      <c r="Y160" s="4">
        <v>450</v>
      </c>
      <c r="Z160" s="3">
        <v>42.75</v>
      </c>
    </row>
    <row r="161" spans="1:26" hidden="1" x14ac:dyDescent="0.35">
      <c r="A161">
        <v>1183</v>
      </c>
      <c r="B161" s="2">
        <v>41819</v>
      </c>
      <c r="C161">
        <v>29</v>
      </c>
      <c r="D161" t="s">
        <v>66</v>
      </c>
      <c r="E161" t="s">
        <v>67</v>
      </c>
      <c r="F161" t="s">
        <v>68</v>
      </c>
      <c r="G161" t="s">
        <v>69</v>
      </c>
      <c r="H161">
        <v>99999</v>
      </c>
      <c r="I161" t="s">
        <v>30</v>
      </c>
      <c r="J161" t="s">
        <v>70</v>
      </c>
      <c r="K161" t="s">
        <v>32</v>
      </c>
      <c r="L161" s="2">
        <v>41821</v>
      </c>
      <c r="M161" t="s">
        <v>33</v>
      </c>
      <c r="N161" t="s">
        <v>71</v>
      </c>
      <c r="O161" t="s">
        <v>67</v>
      </c>
      <c r="P161" t="s">
        <v>68</v>
      </c>
      <c r="Q161" t="s">
        <v>69</v>
      </c>
      <c r="R161">
        <v>99999</v>
      </c>
      <c r="S161" t="s">
        <v>30</v>
      </c>
      <c r="T161" t="s">
        <v>35</v>
      </c>
      <c r="U161" t="s">
        <v>143</v>
      </c>
      <c r="V161" t="s">
        <v>144</v>
      </c>
      <c r="W161">
        <v>39</v>
      </c>
      <c r="X161">
        <v>98</v>
      </c>
      <c r="Y161" s="4">
        <v>3822</v>
      </c>
      <c r="Z161" s="3">
        <v>397.48800000000006</v>
      </c>
    </row>
    <row r="162" spans="1:26" hidden="1" x14ac:dyDescent="0.35">
      <c r="A162">
        <v>1184</v>
      </c>
      <c r="B162" s="2">
        <v>41796</v>
      </c>
      <c r="C162">
        <v>6</v>
      </c>
      <c r="D162" t="s">
        <v>82</v>
      </c>
      <c r="E162" t="s">
        <v>83</v>
      </c>
      <c r="F162" t="s">
        <v>84</v>
      </c>
      <c r="G162" t="s">
        <v>85</v>
      </c>
      <c r="H162">
        <v>99999</v>
      </c>
      <c r="I162" t="s">
        <v>30</v>
      </c>
      <c r="J162" t="s">
        <v>86</v>
      </c>
      <c r="K162" t="s">
        <v>61</v>
      </c>
      <c r="L162" s="2">
        <v>41798</v>
      </c>
      <c r="M162" t="s">
        <v>62</v>
      </c>
      <c r="N162" t="s">
        <v>87</v>
      </c>
      <c r="O162" t="s">
        <v>83</v>
      </c>
      <c r="P162" t="s">
        <v>84</v>
      </c>
      <c r="Q162" t="s">
        <v>85</v>
      </c>
      <c r="R162">
        <v>99999</v>
      </c>
      <c r="S162" t="s">
        <v>30</v>
      </c>
      <c r="T162" t="s">
        <v>35</v>
      </c>
      <c r="U162" t="s">
        <v>49</v>
      </c>
      <c r="V162" t="s">
        <v>39</v>
      </c>
      <c r="W162">
        <v>30</v>
      </c>
      <c r="X162">
        <v>46</v>
      </c>
      <c r="Y162" s="4">
        <v>1380</v>
      </c>
      <c r="Z162" s="3">
        <v>135.24</v>
      </c>
    </row>
    <row r="163" spans="1:26" hidden="1" x14ac:dyDescent="0.35">
      <c r="A163">
        <v>1185</v>
      </c>
      <c r="B163" s="2">
        <v>41796</v>
      </c>
      <c r="C163">
        <v>6</v>
      </c>
      <c r="D163" t="s">
        <v>82</v>
      </c>
      <c r="E163" t="s">
        <v>83</v>
      </c>
      <c r="F163" t="s">
        <v>84</v>
      </c>
      <c r="G163" t="s">
        <v>85</v>
      </c>
      <c r="H163">
        <v>99999</v>
      </c>
      <c r="I163" t="s">
        <v>30</v>
      </c>
      <c r="J163" t="s">
        <v>86</v>
      </c>
      <c r="K163" t="s">
        <v>61</v>
      </c>
      <c r="L163" s="2">
        <v>41798</v>
      </c>
      <c r="M163" t="s">
        <v>62</v>
      </c>
      <c r="N163" t="s">
        <v>87</v>
      </c>
      <c r="O163" t="s">
        <v>83</v>
      </c>
      <c r="P163" t="s">
        <v>84</v>
      </c>
      <c r="Q163" t="s">
        <v>85</v>
      </c>
      <c r="R163">
        <v>99999</v>
      </c>
      <c r="S163" t="s">
        <v>30</v>
      </c>
      <c r="T163" t="s">
        <v>35</v>
      </c>
      <c r="U163" t="s">
        <v>50</v>
      </c>
      <c r="V163" t="s">
        <v>39</v>
      </c>
      <c r="W163">
        <v>53</v>
      </c>
      <c r="X163">
        <v>14</v>
      </c>
      <c r="Y163" s="4">
        <v>742</v>
      </c>
      <c r="Z163" s="3">
        <v>74.2</v>
      </c>
    </row>
    <row r="164" spans="1:26" hidden="1" x14ac:dyDescent="0.35">
      <c r="A164">
        <v>1186</v>
      </c>
      <c r="B164" s="2">
        <v>41794</v>
      </c>
      <c r="C164">
        <v>4</v>
      </c>
      <c r="D164" t="s">
        <v>40</v>
      </c>
      <c r="E164" t="s">
        <v>41</v>
      </c>
      <c r="F164" t="s">
        <v>42</v>
      </c>
      <c r="G164" t="s">
        <v>43</v>
      </c>
      <c r="H164">
        <v>99999</v>
      </c>
      <c r="I164" t="s">
        <v>30</v>
      </c>
      <c r="J164" t="s">
        <v>44</v>
      </c>
      <c r="K164" t="s">
        <v>45</v>
      </c>
      <c r="L164" s="2"/>
      <c r="N164" t="s">
        <v>47</v>
      </c>
      <c r="O164" t="s">
        <v>41</v>
      </c>
      <c r="P164" t="s">
        <v>42</v>
      </c>
      <c r="Q164" t="s">
        <v>43</v>
      </c>
      <c r="R164">
        <v>99999</v>
      </c>
      <c r="S164" t="s">
        <v>30</v>
      </c>
      <c r="U164" t="s">
        <v>145</v>
      </c>
      <c r="V164" t="s">
        <v>132</v>
      </c>
      <c r="W164">
        <v>38</v>
      </c>
      <c r="X164">
        <v>85</v>
      </c>
      <c r="Y164" s="4">
        <v>3230</v>
      </c>
      <c r="Z164" s="3">
        <v>319.77</v>
      </c>
    </row>
    <row r="165" spans="1:26" hidden="1" x14ac:dyDescent="0.35">
      <c r="A165">
        <v>1187</v>
      </c>
      <c r="B165" s="2">
        <v>41793</v>
      </c>
      <c r="C165">
        <v>3</v>
      </c>
      <c r="D165" t="s">
        <v>74</v>
      </c>
      <c r="E165" t="s">
        <v>75</v>
      </c>
      <c r="F165" t="s">
        <v>76</v>
      </c>
      <c r="G165" t="s">
        <v>77</v>
      </c>
      <c r="H165">
        <v>99999</v>
      </c>
      <c r="I165" t="s">
        <v>30</v>
      </c>
      <c r="J165" t="s">
        <v>31</v>
      </c>
      <c r="K165" t="s">
        <v>32</v>
      </c>
      <c r="L165" s="2"/>
      <c r="N165" t="s">
        <v>78</v>
      </c>
      <c r="O165" t="s">
        <v>75</v>
      </c>
      <c r="P165" t="s">
        <v>76</v>
      </c>
      <c r="Q165" t="s">
        <v>77</v>
      </c>
      <c r="R165">
        <v>99999</v>
      </c>
      <c r="S165" t="s">
        <v>30</v>
      </c>
      <c r="U165" t="s">
        <v>103</v>
      </c>
      <c r="V165" t="s">
        <v>37</v>
      </c>
      <c r="W165">
        <v>2.99</v>
      </c>
      <c r="X165">
        <v>88</v>
      </c>
      <c r="Y165" s="4">
        <v>263.12</v>
      </c>
      <c r="Z165" s="3">
        <v>25.522639999999999</v>
      </c>
    </row>
    <row r="166" spans="1:26" hidden="1" x14ac:dyDescent="0.35">
      <c r="A166">
        <v>1188</v>
      </c>
      <c r="B166" s="2">
        <v>41821</v>
      </c>
      <c r="C166">
        <v>1</v>
      </c>
      <c r="D166" t="s">
        <v>118</v>
      </c>
      <c r="E166" t="s">
        <v>119</v>
      </c>
      <c r="F166" t="s">
        <v>120</v>
      </c>
      <c r="G166" t="s">
        <v>121</v>
      </c>
      <c r="H166">
        <v>99999</v>
      </c>
      <c r="I166" t="s">
        <v>30</v>
      </c>
      <c r="J166" t="s">
        <v>60</v>
      </c>
      <c r="K166" t="s">
        <v>61</v>
      </c>
      <c r="L166" s="2"/>
      <c r="N166" t="s">
        <v>122</v>
      </c>
      <c r="O166" t="s">
        <v>119</v>
      </c>
      <c r="P166" t="s">
        <v>120</v>
      </c>
      <c r="Q166" t="s">
        <v>121</v>
      </c>
      <c r="R166">
        <v>99999</v>
      </c>
      <c r="S166" t="s">
        <v>30</v>
      </c>
      <c r="U166" t="s">
        <v>103</v>
      </c>
      <c r="V166" t="s">
        <v>37</v>
      </c>
      <c r="W166">
        <v>2.99</v>
      </c>
      <c r="X166">
        <v>81</v>
      </c>
      <c r="Y166" s="4">
        <v>242.19000000000003</v>
      </c>
      <c r="Z166" s="3">
        <v>23.976810000000004</v>
      </c>
    </row>
    <row r="167" spans="1:26" hidden="1" x14ac:dyDescent="0.35">
      <c r="A167">
        <v>1189</v>
      </c>
      <c r="B167" s="2">
        <v>41848</v>
      </c>
      <c r="C167">
        <v>28</v>
      </c>
      <c r="D167" t="s">
        <v>90</v>
      </c>
      <c r="E167" t="s">
        <v>91</v>
      </c>
      <c r="F167" t="s">
        <v>92</v>
      </c>
      <c r="G167" t="s">
        <v>93</v>
      </c>
      <c r="H167">
        <v>99999</v>
      </c>
      <c r="I167" t="s">
        <v>30</v>
      </c>
      <c r="J167" t="s">
        <v>94</v>
      </c>
      <c r="K167" t="s">
        <v>95</v>
      </c>
      <c r="L167" s="2">
        <v>41850</v>
      </c>
      <c r="M167" t="s">
        <v>62</v>
      </c>
      <c r="N167" t="s">
        <v>96</v>
      </c>
      <c r="O167" t="s">
        <v>91</v>
      </c>
      <c r="P167" t="s">
        <v>92</v>
      </c>
      <c r="Q167" t="s">
        <v>93</v>
      </c>
      <c r="R167">
        <v>99999</v>
      </c>
      <c r="S167" t="s">
        <v>30</v>
      </c>
      <c r="T167" t="s">
        <v>48</v>
      </c>
      <c r="U167" t="s">
        <v>80</v>
      </c>
      <c r="V167" t="s">
        <v>81</v>
      </c>
      <c r="W167">
        <v>9.65</v>
      </c>
      <c r="X167">
        <v>33</v>
      </c>
      <c r="Y167" s="4">
        <v>318.45</v>
      </c>
      <c r="Z167" s="3">
        <v>30.252749999999999</v>
      </c>
    </row>
    <row r="168" spans="1:26" hidden="1" x14ac:dyDescent="0.35">
      <c r="A168">
        <v>1190</v>
      </c>
      <c r="B168" s="2">
        <v>41848</v>
      </c>
      <c r="C168">
        <v>28</v>
      </c>
      <c r="D168" t="s">
        <v>90</v>
      </c>
      <c r="E168" t="s">
        <v>91</v>
      </c>
      <c r="F168" t="s">
        <v>92</v>
      </c>
      <c r="G168" t="s">
        <v>93</v>
      </c>
      <c r="H168">
        <v>99999</v>
      </c>
      <c r="I168" t="s">
        <v>30</v>
      </c>
      <c r="J168" t="s">
        <v>94</v>
      </c>
      <c r="K168" t="s">
        <v>95</v>
      </c>
      <c r="L168" s="2">
        <v>41850</v>
      </c>
      <c r="M168" t="s">
        <v>62</v>
      </c>
      <c r="N168" t="s">
        <v>96</v>
      </c>
      <c r="O168" t="s">
        <v>91</v>
      </c>
      <c r="P168" t="s">
        <v>92</v>
      </c>
      <c r="Q168" t="s">
        <v>93</v>
      </c>
      <c r="R168">
        <v>99999</v>
      </c>
      <c r="S168" t="s">
        <v>30</v>
      </c>
      <c r="T168" t="s">
        <v>48</v>
      </c>
      <c r="U168" t="s">
        <v>123</v>
      </c>
      <c r="V168" t="s">
        <v>124</v>
      </c>
      <c r="W168">
        <v>18.399999999999999</v>
      </c>
      <c r="X168">
        <v>47</v>
      </c>
      <c r="Y168" s="4">
        <v>864.8</v>
      </c>
      <c r="Z168" s="3">
        <v>90.804000000000002</v>
      </c>
    </row>
    <row r="169" spans="1:26" hidden="1" x14ac:dyDescent="0.35">
      <c r="A169">
        <v>1191</v>
      </c>
      <c r="B169" s="2">
        <v>41829</v>
      </c>
      <c r="C169">
        <v>9</v>
      </c>
      <c r="D169" t="s">
        <v>125</v>
      </c>
      <c r="E169" t="s">
        <v>126</v>
      </c>
      <c r="F169" t="s">
        <v>127</v>
      </c>
      <c r="G169" t="s">
        <v>128</v>
      </c>
      <c r="H169">
        <v>99999</v>
      </c>
      <c r="I169" t="s">
        <v>30</v>
      </c>
      <c r="J169" t="s">
        <v>129</v>
      </c>
      <c r="K169" t="s">
        <v>32</v>
      </c>
      <c r="L169" s="2">
        <v>41831</v>
      </c>
      <c r="M169" t="s">
        <v>46</v>
      </c>
      <c r="N169" t="s">
        <v>130</v>
      </c>
      <c r="O169" t="s">
        <v>126</v>
      </c>
      <c r="P169" t="s">
        <v>127</v>
      </c>
      <c r="Q169" t="s">
        <v>128</v>
      </c>
      <c r="R169">
        <v>99999</v>
      </c>
      <c r="S169" t="s">
        <v>30</v>
      </c>
      <c r="T169" t="s">
        <v>35</v>
      </c>
      <c r="U169" t="s">
        <v>131</v>
      </c>
      <c r="V169" t="s">
        <v>132</v>
      </c>
      <c r="W169">
        <v>19.5</v>
      </c>
      <c r="X169">
        <v>61</v>
      </c>
      <c r="Y169" s="4">
        <v>1189.5</v>
      </c>
      <c r="Z169" s="3">
        <v>123.70800000000001</v>
      </c>
    </row>
    <row r="170" spans="1:26" hidden="1" x14ac:dyDescent="0.35">
      <c r="A170">
        <v>1192</v>
      </c>
      <c r="B170" s="2">
        <v>41829</v>
      </c>
      <c r="C170">
        <v>9</v>
      </c>
      <c r="D170" t="s">
        <v>125</v>
      </c>
      <c r="E170" t="s">
        <v>126</v>
      </c>
      <c r="F170" t="s">
        <v>127</v>
      </c>
      <c r="G170" t="s">
        <v>128</v>
      </c>
      <c r="H170">
        <v>99999</v>
      </c>
      <c r="I170" t="s">
        <v>30</v>
      </c>
      <c r="J170" t="s">
        <v>129</v>
      </c>
      <c r="K170" t="s">
        <v>32</v>
      </c>
      <c r="L170" s="2">
        <v>41831</v>
      </c>
      <c r="M170" t="s">
        <v>46</v>
      </c>
      <c r="N170" t="s">
        <v>130</v>
      </c>
      <c r="O170" t="s">
        <v>126</v>
      </c>
      <c r="P170" t="s">
        <v>127</v>
      </c>
      <c r="Q170" t="s">
        <v>128</v>
      </c>
      <c r="R170">
        <v>99999</v>
      </c>
      <c r="S170" t="s">
        <v>30</v>
      </c>
      <c r="T170" t="s">
        <v>35</v>
      </c>
      <c r="U170" t="s">
        <v>133</v>
      </c>
      <c r="V170" t="s">
        <v>134</v>
      </c>
      <c r="W170">
        <v>34.799999999999997</v>
      </c>
      <c r="X170">
        <v>27</v>
      </c>
      <c r="Y170" s="4">
        <v>939.59999999999991</v>
      </c>
      <c r="Z170" s="3">
        <v>95.839199999999991</v>
      </c>
    </row>
    <row r="171" spans="1:26" hidden="1" x14ac:dyDescent="0.35">
      <c r="A171">
        <v>1193</v>
      </c>
      <c r="B171" s="2">
        <v>41826</v>
      </c>
      <c r="C171">
        <v>6</v>
      </c>
      <c r="D171" t="s">
        <v>82</v>
      </c>
      <c r="E171" t="s">
        <v>83</v>
      </c>
      <c r="F171" t="s">
        <v>84</v>
      </c>
      <c r="G171" t="s">
        <v>85</v>
      </c>
      <c r="H171">
        <v>99999</v>
      </c>
      <c r="I171" t="s">
        <v>30</v>
      </c>
      <c r="J171" t="s">
        <v>86</v>
      </c>
      <c r="K171" t="s">
        <v>61</v>
      </c>
      <c r="L171" s="2">
        <v>41828</v>
      </c>
      <c r="M171" t="s">
        <v>33</v>
      </c>
      <c r="N171" t="s">
        <v>87</v>
      </c>
      <c r="O171" t="s">
        <v>83</v>
      </c>
      <c r="P171" t="s">
        <v>84</v>
      </c>
      <c r="Q171" t="s">
        <v>85</v>
      </c>
      <c r="R171">
        <v>99999</v>
      </c>
      <c r="S171" t="s">
        <v>30</v>
      </c>
      <c r="T171" t="s">
        <v>48</v>
      </c>
      <c r="U171" t="s">
        <v>36</v>
      </c>
      <c r="V171" t="s">
        <v>37</v>
      </c>
      <c r="W171">
        <v>14</v>
      </c>
      <c r="X171">
        <v>84</v>
      </c>
      <c r="Y171" s="4">
        <v>1176</v>
      </c>
      <c r="Z171" s="3">
        <v>118.77600000000001</v>
      </c>
    </row>
    <row r="172" spans="1:26" hidden="1" x14ac:dyDescent="0.35">
      <c r="A172">
        <v>1194</v>
      </c>
      <c r="B172" s="2">
        <v>41828</v>
      </c>
      <c r="C172">
        <v>8</v>
      </c>
      <c r="D172" t="s">
        <v>56</v>
      </c>
      <c r="E172" t="s">
        <v>57</v>
      </c>
      <c r="F172" t="s">
        <v>58</v>
      </c>
      <c r="G172" t="s">
        <v>59</v>
      </c>
      <c r="H172">
        <v>99999</v>
      </c>
      <c r="I172" t="s">
        <v>30</v>
      </c>
      <c r="J172" t="s">
        <v>60</v>
      </c>
      <c r="K172" t="s">
        <v>61</v>
      </c>
      <c r="L172" s="2">
        <v>41830</v>
      </c>
      <c r="M172" t="s">
        <v>33</v>
      </c>
      <c r="N172" t="s">
        <v>63</v>
      </c>
      <c r="O172" t="s">
        <v>57</v>
      </c>
      <c r="P172" t="s">
        <v>58</v>
      </c>
      <c r="Q172" t="s">
        <v>59</v>
      </c>
      <c r="R172">
        <v>99999</v>
      </c>
      <c r="S172" t="s">
        <v>30</v>
      </c>
      <c r="T172" t="s">
        <v>35</v>
      </c>
      <c r="U172" t="s">
        <v>88</v>
      </c>
      <c r="V172" t="s">
        <v>89</v>
      </c>
      <c r="W172">
        <v>40</v>
      </c>
      <c r="X172">
        <v>91</v>
      </c>
      <c r="Y172" s="4">
        <v>3640</v>
      </c>
      <c r="Z172" s="3">
        <v>360.36</v>
      </c>
    </row>
    <row r="173" spans="1:26" hidden="1" x14ac:dyDescent="0.35">
      <c r="A173">
        <v>1195</v>
      </c>
      <c r="B173" s="2">
        <v>41828</v>
      </c>
      <c r="C173">
        <v>8</v>
      </c>
      <c r="D173" t="s">
        <v>56</v>
      </c>
      <c r="E173" t="s">
        <v>57</v>
      </c>
      <c r="F173" t="s">
        <v>58</v>
      </c>
      <c r="G173" t="s">
        <v>59</v>
      </c>
      <c r="H173">
        <v>99999</v>
      </c>
      <c r="I173" t="s">
        <v>30</v>
      </c>
      <c r="J173" t="s">
        <v>60</v>
      </c>
      <c r="K173" t="s">
        <v>61</v>
      </c>
      <c r="L173" s="2">
        <v>41830</v>
      </c>
      <c r="M173" t="s">
        <v>33</v>
      </c>
      <c r="N173" t="s">
        <v>63</v>
      </c>
      <c r="O173" t="s">
        <v>57</v>
      </c>
      <c r="P173" t="s">
        <v>58</v>
      </c>
      <c r="Q173" t="s">
        <v>59</v>
      </c>
      <c r="R173">
        <v>99999</v>
      </c>
      <c r="S173" t="s">
        <v>30</v>
      </c>
      <c r="T173" t="s">
        <v>35</v>
      </c>
      <c r="U173" t="s">
        <v>64</v>
      </c>
      <c r="V173" t="s">
        <v>65</v>
      </c>
      <c r="W173">
        <v>9.1999999999999993</v>
      </c>
      <c r="X173">
        <v>36</v>
      </c>
      <c r="Y173" s="4">
        <v>331.2</v>
      </c>
      <c r="Z173" s="3">
        <v>34.444800000000001</v>
      </c>
    </row>
    <row r="174" spans="1:26" hidden="1" x14ac:dyDescent="0.35">
      <c r="A174">
        <v>1196</v>
      </c>
      <c r="B174" s="2">
        <v>41845</v>
      </c>
      <c r="C174">
        <v>25</v>
      </c>
      <c r="D174" t="s">
        <v>137</v>
      </c>
      <c r="E174" t="s">
        <v>138</v>
      </c>
      <c r="F174" t="s">
        <v>99</v>
      </c>
      <c r="G174" t="s">
        <v>100</v>
      </c>
      <c r="H174">
        <v>99999</v>
      </c>
      <c r="I174" t="s">
        <v>30</v>
      </c>
      <c r="J174" t="s">
        <v>101</v>
      </c>
      <c r="K174" t="s">
        <v>45</v>
      </c>
      <c r="L174">
        <v>41847</v>
      </c>
      <c r="M174" t="s">
        <v>46</v>
      </c>
      <c r="N174" t="s">
        <v>139</v>
      </c>
      <c r="O174" t="s">
        <v>138</v>
      </c>
      <c r="P174" t="s">
        <v>99</v>
      </c>
      <c r="Q174" t="s">
        <v>100</v>
      </c>
      <c r="R174">
        <v>99999</v>
      </c>
      <c r="S174" t="s">
        <v>30</v>
      </c>
      <c r="T174" t="s">
        <v>79</v>
      </c>
      <c r="U174" t="s">
        <v>146</v>
      </c>
      <c r="V174" t="s">
        <v>65</v>
      </c>
      <c r="W174">
        <v>10</v>
      </c>
      <c r="X174">
        <v>34</v>
      </c>
      <c r="Y174" s="4">
        <v>340</v>
      </c>
      <c r="Z174" s="3">
        <v>34.340000000000003</v>
      </c>
    </row>
    <row r="175" spans="1:26" hidden="1" x14ac:dyDescent="0.35">
      <c r="A175">
        <v>1197</v>
      </c>
      <c r="B175" s="2">
        <v>41846</v>
      </c>
      <c r="C175">
        <v>26</v>
      </c>
      <c r="D175" t="s">
        <v>140</v>
      </c>
      <c r="E175" t="s">
        <v>141</v>
      </c>
      <c r="F175" t="s">
        <v>115</v>
      </c>
      <c r="G175" t="s">
        <v>116</v>
      </c>
      <c r="H175">
        <v>99999</v>
      </c>
      <c r="I175" t="s">
        <v>30</v>
      </c>
      <c r="J175" t="s">
        <v>94</v>
      </c>
      <c r="K175" t="s">
        <v>95</v>
      </c>
      <c r="L175">
        <v>41848</v>
      </c>
      <c r="M175" t="s">
        <v>62</v>
      </c>
      <c r="N175" t="s">
        <v>142</v>
      </c>
      <c r="O175" t="s">
        <v>141</v>
      </c>
      <c r="P175" t="s">
        <v>115</v>
      </c>
      <c r="Q175" t="s">
        <v>116</v>
      </c>
      <c r="R175">
        <v>99999</v>
      </c>
      <c r="S175" t="s">
        <v>30</v>
      </c>
      <c r="T175" t="s">
        <v>48</v>
      </c>
      <c r="U175" t="s">
        <v>147</v>
      </c>
      <c r="V175" t="s">
        <v>148</v>
      </c>
      <c r="W175">
        <v>21.35</v>
      </c>
      <c r="X175">
        <v>81</v>
      </c>
      <c r="Y175" s="4">
        <v>1729.3500000000001</v>
      </c>
      <c r="Z175" s="3">
        <v>178.12305000000003</v>
      </c>
    </row>
    <row r="176" spans="1:26" hidden="1" x14ac:dyDescent="0.35">
      <c r="A176">
        <v>1198</v>
      </c>
      <c r="B176" s="2">
        <v>41846</v>
      </c>
      <c r="C176">
        <v>26</v>
      </c>
      <c r="D176" t="s">
        <v>140</v>
      </c>
      <c r="E176" t="s">
        <v>141</v>
      </c>
      <c r="F176" t="s">
        <v>115</v>
      </c>
      <c r="G176" t="s">
        <v>116</v>
      </c>
      <c r="H176">
        <v>99999</v>
      </c>
      <c r="I176" t="s">
        <v>30</v>
      </c>
      <c r="J176" t="s">
        <v>94</v>
      </c>
      <c r="K176" t="s">
        <v>95</v>
      </c>
      <c r="L176">
        <v>41848</v>
      </c>
      <c r="M176" t="s">
        <v>62</v>
      </c>
      <c r="N176" t="s">
        <v>142</v>
      </c>
      <c r="O176" t="s">
        <v>141</v>
      </c>
      <c r="P176" t="s">
        <v>115</v>
      </c>
      <c r="Q176" t="s">
        <v>116</v>
      </c>
      <c r="R176">
        <v>99999</v>
      </c>
      <c r="S176" t="s">
        <v>30</v>
      </c>
      <c r="T176" t="s">
        <v>48</v>
      </c>
      <c r="U176" t="s">
        <v>80</v>
      </c>
      <c r="V176" t="s">
        <v>81</v>
      </c>
      <c r="W176">
        <v>9.65</v>
      </c>
      <c r="X176">
        <v>25</v>
      </c>
      <c r="Y176" s="4">
        <v>241.25</v>
      </c>
      <c r="Z176" s="3">
        <v>23.401250000000001</v>
      </c>
    </row>
    <row r="177" spans="1:26" hidden="1" x14ac:dyDescent="0.35">
      <c r="A177">
        <v>1199</v>
      </c>
      <c r="B177" s="2">
        <v>41846</v>
      </c>
      <c r="C177">
        <v>26</v>
      </c>
      <c r="D177" t="s">
        <v>140</v>
      </c>
      <c r="E177" t="s">
        <v>141</v>
      </c>
      <c r="F177" t="s">
        <v>115</v>
      </c>
      <c r="G177" t="s">
        <v>116</v>
      </c>
      <c r="H177">
        <v>99999</v>
      </c>
      <c r="I177" t="s">
        <v>30</v>
      </c>
      <c r="J177" t="s">
        <v>94</v>
      </c>
      <c r="K177" t="s">
        <v>95</v>
      </c>
      <c r="L177">
        <v>41848</v>
      </c>
      <c r="M177" t="s">
        <v>62</v>
      </c>
      <c r="N177" t="s">
        <v>142</v>
      </c>
      <c r="O177" t="s">
        <v>141</v>
      </c>
      <c r="P177" t="s">
        <v>115</v>
      </c>
      <c r="Q177" t="s">
        <v>116</v>
      </c>
      <c r="R177">
        <v>99999</v>
      </c>
      <c r="S177" t="s">
        <v>30</v>
      </c>
      <c r="T177" t="s">
        <v>48</v>
      </c>
      <c r="U177" t="s">
        <v>123</v>
      </c>
      <c r="V177" t="s">
        <v>124</v>
      </c>
      <c r="W177">
        <v>18.399999999999999</v>
      </c>
      <c r="X177">
        <v>12</v>
      </c>
      <c r="Y177" s="4">
        <v>220.79999999999998</v>
      </c>
      <c r="Z177" s="3">
        <v>22.08</v>
      </c>
    </row>
    <row r="178" spans="1:26" hidden="1" x14ac:dyDescent="0.35">
      <c r="A178">
        <v>1200</v>
      </c>
      <c r="B178" s="2">
        <v>41849</v>
      </c>
      <c r="C178">
        <v>29</v>
      </c>
      <c r="D178" t="s">
        <v>66</v>
      </c>
      <c r="E178" t="s">
        <v>67</v>
      </c>
      <c r="F178" t="s">
        <v>68</v>
      </c>
      <c r="G178" t="s">
        <v>69</v>
      </c>
      <c r="H178">
        <v>99999</v>
      </c>
      <c r="I178" t="s">
        <v>30</v>
      </c>
      <c r="J178" t="s">
        <v>70</v>
      </c>
      <c r="K178" t="s">
        <v>32</v>
      </c>
      <c r="L178" s="2">
        <v>41851</v>
      </c>
      <c r="M178" t="s">
        <v>33</v>
      </c>
      <c r="N178" t="s">
        <v>71</v>
      </c>
      <c r="O178" t="s">
        <v>67</v>
      </c>
      <c r="P178" t="s">
        <v>68</v>
      </c>
      <c r="Q178" t="s">
        <v>69</v>
      </c>
      <c r="R178">
        <v>99999</v>
      </c>
      <c r="S178" t="s">
        <v>30</v>
      </c>
      <c r="T178" t="s">
        <v>35</v>
      </c>
      <c r="U178" t="s">
        <v>36</v>
      </c>
      <c r="V178" t="s">
        <v>37</v>
      </c>
      <c r="W178">
        <v>14</v>
      </c>
      <c r="X178">
        <v>23</v>
      </c>
      <c r="Y178" s="4">
        <v>322</v>
      </c>
      <c r="Z178" s="3">
        <v>30.912000000000003</v>
      </c>
    </row>
    <row r="179" spans="1:26" hidden="1" x14ac:dyDescent="0.35">
      <c r="A179">
        <v>1201</v>
      </c>
      <c r="B179" s="2">
        <v>41826</v>
      </c>
      <c r="C179">
        <v>6</v>
      </c>
      <c r="D179" t="s">
        <v>82</v>
      </c>
      <c r="E179" t="s">
        <v>83</v>
      </c>
      <c r="F179" t="s">
        <v>84</v>
      </c>
      <c r="G179" t="s">
        <v>85</v>
      </c>
      <c r="H179">
        <v>99999</v>
      </c>
      <c r="I179" t="s">
        <v>30</v>
      </c>
      <c r="J179" t="s">
        <v>86</v>
      </c>
      <c r="K179" t="s">
        <v>61</v>
      </c>
      <c r="L179" s="2">
        <v>41828</v>
      </c>
      <c r="M179" t="s">
        <v>62</v>
      </c>
      <c r="N179" t="s">
        <v>87</v>
      </c>
      <c r="O179" t="s">
        <v>83</v>
      </c>
      <c r="P179" t="s">
        <v>84</v>
      </c>
      <c r="Q179" t="s">
        <v>85</v>
      </c>
      <c r="R179">
        <v>99999</v>
      </c>
      <c r="S179" t="s">
        <v>30</v>
      </c>
      <c r="T179" t="s">
        <v>35</v>
      </c>
      <c r="U179" t="s">
        <v>72</v>
      </c>
      <c r="V179" t="s">
        <v>73</v>
      </c>
      <c r="W179">
        <v>12.75</v>
      </c>
      <c r="X179">
        <v>76</v>
      </c>
      <c r="Y179" s="4">
        <v>969</v>
      </c>
      <c r="Z179" s="3">
        <v>97.869</v>
      </c>
    </row>
    <row r="180" spans="1:26" hidden="1" x14ac:dyDescent="0.35">
      <c r="A180">
        <v>1203</v>
      </c>
      <c r="B180" s="2">
        <v>41824</v>
      </c>
      <c r="C180">
        <v>4</v>
      </c>
      <c r="D180" t="s">
        <v>40</v>
      </c>
      <c r="E180" t="s">
        <v>41</v>
      </c>
      <c r="F180" t="s">
        <v>42</v>
      </c>
      <c r="G180" t="s">
        <v>43</v>
      </c>
      <c r="H180">
        <v>99999</v>
      </c>
      <c r="I180" t="s">
        <v>30</v>
      </c>
      <c r="J180" t="s">
        <v>44</v>
      </c>
      <c r="K180" t="s">
        <v>45</v>
      </c>
      <c r="L180" s="2">
        <v>41826</v>
      </c>
      <c r="M180" t="s">
        <v>46</v>
      </c>
      <c r="N180" t="s">
        <v>47</v>
      </c>
      <c r="O180" t="s">
        <v>41</v>
      </c>
      <c r="P180" t="s">
        <v>42</v>
      </c>
      <c r="Q180" t="s">
        <v>43</v>
      </c>
      <c r="R180">
        <v>99999</v>
      </c>
      <c r="S180" t="s">
        <v>30</v>
      </c>
      <c r="T180" t="s">
        <v>48</v>
      </c>
      <c r="U180" t="s">
        <v>149</v>
      </c>
      <c r="V180" t="s">
        <v>110</v>
      </c>
      <c r="W180">
        <v>81</v>
      </c>
      <c r="X180">
        <v>55</v>
      </c>
      <c r="Y180" s="4">
        <v>4455</v>
      </c>
      <c r="Z180" s="3">
        <v>445.5</v>
      </c>
    </row>
    <row r="181" spans="1:26" hidden="1" x14ac:dyDescent="0.35">
      <c r="A181">
        <v>1204</v>
      </c>
      <c r="B181" s="2">
        <v>41824</v>
      </c>
      <c r="C181">
        <v>4</v>
      </c>
      <c r="D181" t="s">
        <v>40</v>
      </c>
      <c r="E181" t="s">
        <v>41</v>
      </c>
      <c r="F181" t="s">
        <v>42</v>
      </c>
      <c r="G181" t="s">
        <v>43</v>
      </c>
      <c r="H181">
        <v>99999</v>
      </c>
      <c r="I181" t="s">
        <v>30</v>
      </c>
      <c r="J181" t="s">
        <v>44</v>
      </c>
      <c r="K181" t="s">
        <v>45</v>
      </c>
      <c r="L181" s="2">
        <v>41826</v>
      </c>
      <c r="M181" t="s">
        <v>46</v>
      </c>
      <c r="N181" t="s">
        <v>47</v>
      </c>
      <c r="O181" t="s">
        <v>41</v>
      </c>
      <c r="P181" t="s">
        <v>42</v>
      </c>
      <c r="Q181" t="s">
        <v>43</v>
      </c>
      <c r="R181">
        <v>99999</v>
      </c>
      <c r="S181" t="s">
        <v>30</v>
      </c>
      <c r="T181" t="s">
        <v>48</v>
      </c>
      <c r="U181" t="s">
        <v>150</v>
      </c>
      <c r="V181" t="s">
        <v>151</v>
      </c>
      <c r="W181">
        <v>7</v>
      </c>
      <c r="X181">
        <v>19</v>
      </c>
      <c r="Y181" s="4">
        <v>133</v>
      </c>
      <c r="Z181" s="3">
        <v>12.901</v>
      </c>
    </row>
    <row r="182" spans="1:26" hidden="1" x14ac:dyDescent="0.35">
      <c r="A182">
        <v>1206</v>
      </c>
      <c r="B182" s="2">
        <v>41828</v>
      </c>
      <c r="C182">
        <v>8</v>
      </c>
      <c r="D182" t="s">
        <v>56</v>
      </c>
      <c r="E182" t="s">
        <v>57</v>
      </c>
      <c r="F182" t="s">
        <v>58</v>
      </c>
      <c r="G182" t="s">
        <v>59</v>
      </c>
      <c r="H182">
        <v>99999</v>
      </c>
      <c r="I182" t="s">
        <v>30</v>
      </c>
      <c r="J182" t="s">
        <v>60</v>
      </c>
      <c r="K182" t="s">
        <v>61</v>
      </c>
      <c r="L182" s="2">
        <v>41830</v>
      </c>
      <c r="M182" t="s">
        <v>62</v>
      </c>
      <c r="N182" t="s">
        <v>63</v>
      </c>
      <c r="O182" t="s">
        <v>57</v>
      </c>
      <c r="P182" t="s">
        <v>58</v>
      </c>
      <c r="Q182" t="s">
        <v>59</v>
      </c>
      <c r="R182">
        <v>99999</v>
      </c>
      <c r="S182" t="s">
        <v>30</v>
      </c>
      <c r="T182" t="s">
        <v>48</v>
      </c>
      <c r="U182" t="s">
        <v>133</v>
      </c>
      <c r="V182" t="s">
        <v>134</v>
      </c>
      <c r="W182">
        <v>34.799999999999997</v>
      </c>
      <c r="X182">
        <v>27</v>
      </c>
      <c r="Y182" s="4">
        <v>939.59999999999991</v>
      </c>
      <c r="Z182" s="3">
        <v>89.261999999999986</v>
      </c>
    </row>
    <row r="183" spans="1:26" hidden="1" x14ac:dyDescent="0.35">
      <c r="A183">
        <v>1209</v>
      </c>
      <c r="B183" s="2">
        <v>41823</v>
      </c>
      <c r="C183">
        <v>3</v>
      </c>
      <c r="D183" t="s">
        <v>74</v>
      </c>
      <c r="E183" t="s">
        <v>75</v>
      </c>
      <c r="F183" t="s">
        <v>76</v>
      </c>
      <c r="G183" t="s">
        <v>77</v>
      </c>
      <c r="H183">
        <v>99999</v>
      </c>
      <c r="I183" t="s">
        <v>30</v>
      </c>
      <c r="J183" t="s">
        <v>31</v>
      </c>
      <c r="K183" t="s">
        <v>32</v>
      </c>
      <c r="L183" s="2">
        <v>41825</v>
      </c>
      <c r="M183" t="s">
        <v>33</v>
      </c>
      <c r="N183" t="s">
        <v>78</v>
      </c>
      <c r="O183" t="s">
        <v>75</v>
      </c>
      <c r="P183" t="s">
        <v>76</v>
      </c>
      <c r="Q183" t="s">
        <v>77</v>
      </c>
      <c r="R183">
        <v>99999</v>
      </c>
      <c r="S183" t="s">
        <v>30</v>
      </c>
      <c r="T183" t="s">
        <v>79</v>
      </c>
      <c r="U183" t="s">
        <v>135</v>
      </c>
      <c r="V183" t="s">
        <v>112</v>
      </c>
      <c r="W183">
        <v>10</v>
      </c>
      <c r="X183">
        <v>99</v>
      </c>
      <c r="Y183" s="4">
        <v>990</v>
      </c>
      <c r="Z183" s="3">
        <v>95.039999999999992</v>
      </c>
    </row>
    <row r="184" spans="1:26" hidden="1" x14ac:dyDescent="0.35">
      <c r="A184">
        <v>1210</v>
      </c>
      <c r="B184" s="2">
        <v>41823</v>
      </c>
      <c r="C184">
        <v>3</v>
      </c>
      <c r="D184" t="s">
        <v>74</v>
      </c>
      <c r="E184" t="s">
        <v>75</v>
      </c>
      <c r="F184" t="s">
        <v>76</v>
      </c>
      <c r="G184" t="s">
        <v>77</v>
      </c>
      <c r="H184">
        <v>99999</v>
      </c>
      <c r="I184" t="s">
        <v>30</v>
      </c>
      <c r="J184" t="s">
        <v>31</v>
      </c>
      <c r="K184" t="s">
        <v>32</v>
      </c>
      <c r="L184" s="2">
        <v>41825</v>
      </c>
      <c r="M184" t="s">
        <v>33</v>
      </c>
      <c r="N184" t="s">
        <v>78</v>
      </c>
      <c r="O184" t="s">
        <v>75</v>
      </c>
      <c r="P184" t="s">
        <v>76</v>
      </c>
      <c r="Q184" t="s">
        <v>77</v>
      </c>
      <c r="R184">
        <v>99999</v>
      </c>
      <c r="S184" t="s">
        <v>30</v>
      </c>
      <c r="T184" t="s">
        <v>79</v>
      </c>
      <c r="U184" t="s">
        <v>88</v>
      </c>
      <c r="V184" t="s">
        <v>89</v>
      </c>
      <c r="W184">
        <v>40</v>
      </c>
      <c r="X184">
        <v>10</v>
      </c>
      <c r="Y184" s="4">
        <v>400</v>
      </c>
      <c r="Z184" s="3">
        <v>40</v>
      </c>
    </row>
    <row r="185" spans="1:26" hidden="1" x14ac:dyDescent="0.35">
      <c r="A185">
        <v>1214</v>
      </c>
      <c r="B185" s="2">
        <v>41830</v>
      </c>
      <c r="C185">
        <v>10</v>
      </c>
      <c r="D185" t="s">
        <v>97</v>
      </c>
      <c r="E185" t="s">
        <v>98</v>
      </c>
      <c r="F185" t="s">
        <v>99</v>
      </c>
      <c r="G185" t="s">
        <v>100</v>
      </c>
      <c r="H185">
        <v>99999</v>
      </c>
      <c r="I185" t="s">
        <v>30</v>
      </c>
      <c r="J185" t="s">
        <v>101</v>
      </c>
      <c r="K185" t="s">
        <v>45</v>
      </c>
      <c r="L185" s="2">
        <v>41832</v>
      </c>
      <c r="M185" t="s">
        <v>33</v>
      </c>
      <c r="N185" t="s">
        <v>102</v>
      </c>
      <c r="O185" t="s">
        <v>98</v>
      </c>
      <c r="P185" t="s">
        <v>99</v>
      </c>
      <c r="Q185" t="s">
        <v>100</v>
      </c>
      <c r="R185">
        <v>99999</v>
      </c>
      <c r="S185" t="s">
        <v>30</v>
      </c>
      <c r="T185" t="s">
        <v>48</v>
      </c>
      <c r="U185" t="s">
        <v>136</v>
      </c>
      <c r="V185" t="s">
        <v>39</v>
      </c>
      <c r="W185">
        <v>10</v>
      </c>
      <c r="X185">
        <v>80</v>
      </c>
      <c r="Y185" s="4">
        <v>800</v>
      </c>
      <c r="Z185" s="3">
        <v>77.599999999999994</v>
      </c>
    </row>
    <row r="186" spans="1:26" hidden="1" x14ac:dyDescent="0.35">
      <c r="A186">
        <v>1216</v>
      </c>
      <c r="B186" s="2">
        <v>41830</v>
      </c>
      <c r="C186">
        <v>10</v>
      </c>
      <c r="D186" t="s">
        <v>97</v>
      </c>
      <c r="E186" t="s">
        <v>98</v>
      </c>
      <c r="F186" t="s">
        <v>99</v>
      </c>
      <c r="G186" t="s">
        <v>100</v>
      </c>
      <c r="H186">
        <v>99999</v>
      </c>
      <c r="I186" t="s">
        <v>30</v>
      </c>
      <c r="J186" t="s">
        <v>101</v>
      </c>
      <c r="K186" t="s">
        <v>45</v>
      </c>
      <c r="L186" s="2"/>
      <c r="M186" t="s">
        <v>46</v>
      </c>
      <c r="N186" t="s">
        <v>102</v>
      </c>
      <c r="O186" t="s">
        <v>98</v>
      </c>
      <c r="P186" t="s">
        <v>99</v>
      </c>
      <c r="Q186" t="s">
        <v>100</v>
      </c>
      <c r="R186">
        <v>99999</v>
      </c>
      <c r="S186" t="s">
        <v>30</v>
      </c>
      <c r="U186" t="s">
        <v>38</v>
      </c>
      <c r="V186" t="s">
        <v>39</v>
      </c>
      <c r="W186">
        <v>3.5</v>
      </c>
      <c r="X186">
        <v>27</v>
      </c>
      <c r="Y186" s="4">
        <v>94.5</v>
      </c>
      <c r="Z186" s="3">
        <v>9.072000000000001</v>
      </c>
    </row>
    <row r="187" spans="1:26" hidden="1" x14ac:dyDescent="0.35">
      <c r="A187">
        <v>1217</v>
      </c>
      <c r="B187" s="2">
        <v>41831</v>
      </c>
      <c r="C187">
        <v>11</v>
      </c>
      <c r="D187" t="s">
        <v>113</v>
      </c>
      <c r="E187" t="s">
        <v>114</v>
      </c>
      <c r="F187" t="s">
        <v>115</v>
      </c>
      <c r="G187" t="s">
        <v>116</v>
      </c>
      <c r="H187">
        <v>99999</v>
      </c>
      <c r="I187" t="s">
        <v>30</v>
      </c>
      <c r="J187" t="s">
        <v>94</v>
      </c>
      <c r="K187" t="s">
        <v>95</v>
      </c>
      <c r="M187" t="s">
        <v>62</v>
      </c>
      <c r="N187" t="s">
        <v>117</v>
      </c>
      <c r="O187" t="s">
        <v>114</v>
      </c>
      <c r="P187" t="s">
        <v>115</v>
      </c>
      <c r="Q187" t="s">
        <v>116</v>
      </c>
      <c r="R187">
        <v>99999</v>
      </c>
      <c r="S187" t="s">
        <v>30</v>
      </c>
      <c r="U187" t="s">
        <v>88</v>
      </c>
      <c r="V187" t="s">
        <v>89</v>
      </c>
      <c r="W187">
        <v>40</v>
      </c>
      <c r="X187">
        <v>97</v>
      </c>
      <c r="Y187" s="4">
        <v>3880</v>
      </c>
      <c r="Z187" s="3">
        <v>380.24</v>
      </c>
    </row>
    <row r="188" spans="1:26" hidden="1" x14ac:dyDescent="0.35">
      <c r="A188">
        <v>1218</v>
      </c>
      <c r="B188" s="2">
        <v>41821</v>
      </c>
      <c r="C188">
        <v>1</v>
      </c>
      <c r="D188" t="s">
        <v>118</v>
      </c>
      <c r="E188" t="s">
        <v>119</v>
      </c>
      <c r="F188" t="s">
        <v>120</v>
      </c>
      <c r="G188" t="s">
        <v>121</v>
      </c>
      <c r="H188">
        <v>99999</v>
      </c>
      <c r="I188" t="s">
        <v>30</v>
      </c>
      <c r="J188" t="s">
        <v>60</v>
      </c>
      <c r="K188" t="s">
        <v>61</v>
      </c>
      <c r="M188" t="s">
        <v>62</v>
      </c>
      <c r="N188" t="s">
        <v>122</v>
      </c>
      <c r="O188" t="s">
        <v>119</v>
      </c>
      <c r="P188" t="s">
        <v>120</v>
      </c>
      <c r="Q188" t="s">
        <v>121</v>
      </c>
      <c r="R188">
        <v>99999</v>
      </c>
      <c r="S188" t="s">
        <v>30</v>
      </c>
      <c r="U188" t="s">
        <v>123</v>
      </c>
      <c r="V188" t="s">
        <v>124</v>
      </c>
      <c r="W188">
        <v>18.399999999999999</v>
      </c>
      <c r="X188">
        <v>42</v>
      </c>
      <c r="Y188" s="4">
        <v>772.8</v>
      </c>
      <c r="Z188" s="3">
        <v>80.371200000000002</v>
      </c>
    </row>
    <row r="189" spans="1:26" hidden="1" x14ac:dyDescent="0.35">
      <c r="A189">
        <v>1219</v>
      </c>
      <c r="B189" s="2">
        <v>41848</v>
      </c>
      <c r="C189">
        <v>28</v>
      </c>
      <c r="D189" t="s">
        <v>90</v>
      </c>
      <c r="E189" t="s">
        <v>91</v>
      </c>
      <c r="F189" t="s">
        <v>92</v>
      </c>
      <c r="G189" t="s">
        <v>93</v>
      </c>
      <c r="H189">
        <v>99999</v>
      </c>
      <c r="I189" t="s">
        <v>30</v>
      </c>
      <c r="J189" t="s">
        <v>94</v>
      </c>
      <c r="K189" t="s">
        <v>95</v>
      </c>
      <c r="L189">
        <v>41850</v>
      </c>
      <c r="M189" t="s">
        <v>62</v>
      </c>
      <c r="N189" t="s">
        <v>96</v>
      </c>
      <c r="O189" t="s">
        <v>91</v>
      </c>
      <c r="P189" t="s">
        <v>92</v>
      </c>
      <c r="Q189" t="s">
        <v>93</v>
      </c>
      <c r="R189">
        <v>99999</v>
      </c>
      <c r="S189" t="s">
        <v>30</v>
      </c>
      <c r="T189" t="s">
        <v>48</v>
      </c>
      <c r="U189" t="s">
        <v>55</v>
      </c>
      <c r="V189" t="s">
        <v>37</v>
      </c>
      <c r="W189" s="3">
        <v>46</v>
      </c>
      <c r="X189">
        <v>24</v>
      </c>
      <c r="Y189" s="4">
        <v>1104</v>
      </c>
      <c r="Z189" s="3">
        <v>105.98399999999999</v>
      </c>
    </row>
    <row r="190" spans="1:26" hidden="1" x14ac:dyDescent="0.35">
      <c r="A190">
        <v>1220</v>
      </c>
      <c r="B190" s="2">
        <v>41829</v>
      </c>
      <c r="C190">
        <v>9</v>
      </c>
      <c r="D190" t="s">
        <v>125</v>
      </c>
      <c r="E190" t="s">
        <v>126</v>
      </c>
      <c r="F190" t="s">
        <v>127</v>
      </c>
      <c r="G190" t="s">
        <v>128</v>
      </c>
      <c r="H190">
        <v>99999</v>
      </c>
      <c r="I190" t="s">
        <v>30</v>
      </c>
      <c r="J190" t="s">
        <v>129</v>
      </c>
      <c r="K190" t="s">
        <v>32</v>
      </c>
      <c r="L190" s="2">
        <v>41831</v>
      </c>
      <c r="M190" t="s">
        <v>46</v>
      </c>
      <c r="N190" t="s">
        <v>130</v>
      </c>
      <c r="O190" t="s">
        <v>126</v>
      </c>
      <c r="P190" t="s">
        <v>127</v>
      </c>
      <c r="Q190" t="s">
        <v>128</v>
      </c>
      <c r="R190">
        <v>99999</v>
      </c>
      <c r="S190" t="s">
        <v>30</v>
      </c>
      <c r="T190" t="s">
        <v>35</v>
      </c>
      <c r="U190" t="s">
        <v>80</v>
      </c>
      <c r="V190" t="s">
        <v>81</v>
      </c>
      <c r="W190" s="3">
        <v>9.65</v>
      </c>
      <c r="X190">
        <v>90</v>
      </c>
      <c r="Y190" s="4">
        <v>868.5</v>
      </c>
      <c r="Z190" s="3">
        <v>83.376000000000005</v>
      </c>
    </row>
    <row r="191" spans="1:26" hidden="1" x14ac:dyDescent="0.35">
      <c r="A191">
        <v>1221</v>
      </c>
      <c r="B191" s="2">
        <v>41826</v>
      </c>
      <c r="C191">
        <v>6</v>
      </c>
      <c r="D191" t="s">
        <v>82</v>
      </c>
      <c r="E191" t="s">
        <v>83</v>
      </c>
      <c r="F191" t="s">
        <v>84</v>
      </c>
      <c r="G191" t="s">
        <v>85</v>
      </c>
      <c r="H191">
        <v>99999</v>
      </c>
      <c r="I191" t="s">
        <v>30</v>
      </c>
      <c r="J191" t="s">
        <v>86</v>
      </c>
      <c r="K191" t="s">
        <v>61</v>
      </c>
      <c r="L191" s="2">
        <v>41828</v>
      </c>
      <c r="M191" t="s">
        <v>33</v>
      </c>
      <c r="N191" t="s">
        <v>87</v>
      </c>
      <c r="O191" t="s">
        <v>83</v>
      </c>
      <c r="P191" t="s">
        <v>84</v>
      </c>
      <c r="Q191" t="s">
        <v>85</v>
      </c>
      <c r="R191">
        <v>99999</v>
      </c>
      <c r="S191" t="s">
        <v>30</v>
      </c>
      <c r="T191" t="s">
        <v>48</v>
      </c>
      <c r="U191" t="s">
        <v>72</v>
      </c>
      <c r="V191" t="s">
        <v>73</v>
      </c>
      <c r="W191" s="3">
        <v>12.75</v>
      </c>
      <c r="X191">
        <v>28</v>
      </c>
      <c r="Y191" s="4">
        <v>357</v>
      </c>
      <c r="Z191" s="3">
        <v>35.700000000000003</v>
      </c>
    </row>
    <row r="192" spans="1:26" hidden="1" x14ac:dyDescent="0.35">
      <c r="A192">
        <v>1222</v>
      </c>
      <c r="B192" s="2">
        <v>41879</v>
      </c>
      <c r="C192">
        <v>28</v>
      </c>
      <c r="D192" t="s">
        <v>90</v>
      </c>
      <c r="E192" t="s">
        <v>91</v>
      </c>
      <c r="F192" t="s">
        <v>92</v>
      </c>
      <c r="G192" t="s">
        <v>93</v>
      </c>
      <c r="H192">
        <v>99999</v>
      </c>
      <c r="I192" t="s">
        <v>30</v>
      </c>
      <c r="J192" t="s">
        <v>94</v>
      </c>
      <c r="K192" t="s">
        <v>95</v>
      </c>
      <c r="L192" s="2">
        <v>41881</v>
      </c>
      <c r="M192" t="s">
        <v>62</v>
      </c>
      <c r="N192" t="s">
        <v>96</v>
      </c>
      <c r="O192" t="s">
        <v>91</v>
      </c>
      <c r="P192" t="s">
        <v>92</v>
      </c>
      <c r="Q192" t="s">
        <v>93</v>
      </c>
      <c r="R192">
        <v>99999</v>
      </c>
      <c r="S192" t="s">
        <v>30</v>
      </c>
      <c r="T192" t="s">
        <v>35</v>
      </c>
      <c r="U192" t="s">
        <v>55</v>
      </c>
      <c r="V192" t="s">
        <v>37</v>
      </c>
      <c r="W192" s="3">
        <v>46</v>
      </c>
      <c r="X192">
        <v>28</v>
      </c>
      <c r="Y192" s="4">
        <v>1288</v>
      </c>
      <c r="Z192" s="3">
        <v>133.95200000000003</v>
      </c>
    </row>
    <row r="193" spans="1:26" hidden="1" x14ac:dyDescent="0.35">
      <c r="A193">
        <v>1223</v>
      </c>
      <c r="B193" s="2">
        <v>41859</v>
      </c>
      <c r="C193">
        <v>8</v>
      </c>
      <c r="D193" t="s">
        <v>56</v>
      </c>
      <c r="E193" t="s">
        <v>57</v>
      </c>
      <c r="F193" t="s">
        <v>58</v>
      </c>
      <c r="G193" t="s">
        <v>59</v>
      </c>
      <c r="H193">
        <v>99999</v>
      </c>
      <c r="I193" t="s">
        <v>30</v>
      </c>
      <c r="J193" t="s">
        <v>60</v>
      </c>
      <c r="K193" t="s">
        <v>61</v>
      </c>
      <c r="L193" s="2">
        <v>41861</v>
      </c>
      <c r="M193" t="s">
        <v>62</v>
      </c>
      <c r="N193" t="s">
        <v>63</v>
      </c>
      <c r="O193" t="s">
        <v>57</v>
      </c>
      <c r="P193" t="s">
        <v>58</v>
      </c>
      <c r="Q193" t="s">
        <v>59</v>
      </c>
      <c r="R193">
        <v>99999</v>
      </c>
      <c r="S193" t="s">
        <v>30</v>
      </c>
      <c r="T193" t="s">
        <v>35</v>
      </c>
      <c r="U193" t="s">
        <v>72</v>
      </c>
      <c r="V193" t="s">
        <v>73</v>
      </c>
      <c r="W193" s="3">
        <v>12.75</v>
      </c>
      <c r="X193">
        <v>57</v>
      </c>
      <c r="Y193" s="4">
        <v>726.75</v>
      </c>
      <c r="Z193" s="3">
        <v>69.768000000000001</v>
      </c>
    </row>
    <row r="194" spans="1:26" hidden="1" x14ac:dyDescent="0.35">
      <c r="A194">
        <v>1224</v>
      </c>
      <c r="B194" s="2">
        <v>41861</v>
      </c>
      <c r="C194">
        <v>10</v>
      </c>
      <c r="D194" t="s">
        <v>97</v>
      </c>
      <c r="E194" t="s">
        <v>98</v>
      </c>
      <c r="F194" t="s">
        <v>99</v>
      </c>
      <c r="G194" t="s">
        <v>100</v>
      </c>
      <c r="H194">
        <v>99999</v>
      </c>
      <c r="I194" t="s">
        <v>30</v>
      </c>
      <c r="J194" t="s">
        <v>101</v>
      </c>
      <c r="K194" t="s">
        <v>45</v>
      </c>
      <c r="L194" s="2">
        <v>41863</v>
      </c>
      <c r="M194" t="s">
        <v>33</v>
      </c>
      <c r="N194" t="s">
        <v>102</v>
      </c>
      <c r="O194" t="s">
        <v>98</v>
      </c>
      <c r="P194" t="s">
        <v>99</v>
      </c>
      <c r="Q194" t="s">
        <v>100</v>
      </c>
      <c r="R194">
        <v>99999</v>
      </c>
      <c r="S194" t="s">
        <v>30</v>
      </c>
      <c r="T194" t="s">
        <v>48</v>
      </c>
      <c r="U194" t="s">
        <v>103</v>
      </c>
      <c r="V194" t="s">
        <v>37</v>
      </c>
      <c r="W194" s="3">
        <v>2.99</v>
      </c>
      <c r="X194">
        <v>23</v>
      </c>
      <c r="Y194" s="4">
        <v>68.77000000000001</v>
      </c>
      <c r="Z194" s="3">
        <v>6.6706900000000013</v>
      </c>
    </row>
    <row r="195" spans="1:26" hidden="1" x14ac:dyDescent="0.35">
      <c r="A195">
        <v>1225</v>
      </c>
      <c r="B195" s="2">
        <v>41858</v>
      </c>
      <c r="C195">
        <v>7</v>
      </c>
      <c r="D195" t="s">
        <v>104</v>
      </c>
      <c r="E195" t="s">
        <v>105</v>
      </c>
      <c r="F195" t="s">
        <v>106</v>
      </c>
      <c r="G195" t="s">
        <v>107</v>
      </c>
      <c r="H195">
        <v>99999</v>
      </c>
      <c r="I195" t="s">
        <v>30</v>
      </c>
      <c r="J195" t="s">
        <v>60</v>
      </c>
      <c r="K195" t="s">
        <v>61</v>
      </c>
      <c r="L195" s="2"/>
      <c r="N195" t="s">
        <v>108</v>
      </c>
      <c r="O195" t="s">
        <v>105</v>
      </c>
      <c r="P195" t="s">
        <v>106</v>
      </c>
      <c r="Q195" t="s">
        <v>107</v>
      </c>
      <c r="R195">
        <v>99999</v>
      </c>
      <c r="S195" t="s">
        <v>30</v>
      </c>
      <c r="U195" t="s">
        <v>55</v>
      </c>
      <c r="V195" t="s">
        <v>37</v>
      </c>
      <c r="W195" s="3">
        <v>46</v>
      </c>
      <c r="X195">
        <v>86</v>
      </c>
      <c r="Y195" s="4">
        <v>3956</v>
      </c>
      <c r="Z195" s="3">
        <v>399.55600000000004</v>
      </c>
    </row>
    <row r="196" spans="1:26" hidden="1" x14ac:dyDescent="0.35">
      <c r="A196">
        <v>1226</v>
      </c>
      <c r="B196" s="2">
        <v>41861</v>
      </c>
      <c r="C196">
        <v>10</v>
      </c>
      <c r="D196" t="s">
        <v>97</v>
      </c>
      <c r="E196" t="s">
        <v>98</v>
      </c>
      <c r="F196" t="s">
        <v>99</v>
      </c>
      <c r="G196" t="s">
        <v>100</v>
      </c>
      <c r="H196">
        <v>99999</v>
      </c>
      <c r="I196" t="s">
        <v>30</v>
      </c>
      <c r="J196" t="s">
        <v>101</v>
      </c>
      <c r="K196" t="s">
        <v>45</v>
      </c>
      <c r="L196" s="2">
        <v>41863</v>
      </c>
      <c r="M196" t="s">
        <v>46</v>
      </c>
      <c r="N196" t="s">
        <v>102</v>
      </c>
      <c r="O196" t="s">
        <v>98</v>
      </c>
      <c r="P196" t="s">
        <v>99</v>
      </c>
      <c r="Q196" t="s">
        <v>100</v>
      </c>
      <c r="R196">
        <v>99999</v>
      </c>
      <c r="S196" t="s">
        <v>30</v>
      </c>
      <c r="U196" t="s">
        <v>109</v>
      </c>
      <c r="V196" t="s">
        <v>110</v>
      </c>
      <c r="W196" s="3">
        <v>25</v>
      </c>
      <c r="X196">
        <v>47</v>
      </c>
      <c r="Y196" s="4">
        <v>1175</v>
      </c>
      <c r="Z196" s="3">
        <v>116.325</v>
      </c>
    </row>
    <row r="197" spans="1:26" hidden="1" x14ac:dyDescent="0.35">
      <c r="A197">
        <v>1227</v>
      </c>
      <c r="B197" s="2">
        <v>41861</v>
      </c>
      <c r="C197">
        <v>10</v>
      </c>
      <c r="D197" t="s">
        <v>97</v>
      </c>
      <c r="E197" t="s">
        <v>98</v>
      </c>
      <c r="F197" t="s">
        <v>99</v>
      </c>
      <c r="G197" t="s">
        <v>100</v>
      </c>
      <c r="H197">
        <v>99999</v>
      </c>
      <c r="I197" t="s">
        <v>30</v>
      </c>
      <c r="J197" t="s">
        <v>101</v>
      </c>
      <c r="K197" t="s">
        <v>45</v>
      </c>
      <c r="L197" s="2">
        <v>41863</v>
      </c>
      <c r="M197" t="s">
        <v>46</v>
      </c>
      <c r="N197" t="s">
        <v>102</v>
      </c>
      <c r="O197" t="s">
        <v>98</v>
      </c>
      <c r="P197" t="s">
        <v>99</v>
      </c>
      <c r="Q197" t="s">
        <v>100</v>
      </c>
      <c r="R197">
        <v>99999</v>
      </c>
      <c r="S197" t="s">
        <v>30</v>
      </c>
      <c r="U197" t="s">
        <v>111</v>
      </c>
      <c r="V197" t="s">
        <v>112</v>
      </c>
      <c r="W197" s="3">
        <v>22</v>
      </c>
      <c r="X197">
        <v>97</v>
      </c>
      <c r="Y197" s="4">
        <v>2134</v>
      </c>
      <c r="Z197" s="3">
        <v>221.93600000000001</v>
      </c>
    </row>
    <row r="198" spans="1:26" hidden="1" x14ac:dyDescent="0.35">
      <c r="A198">
        <v>1228</v>
      </c>
      <c r="B198" s="2">
        <v>41861</v>
      </c>
      <c r="C198">
        <v>10</v>
      </c>
      <c r="D198" t="s">
        <v>97</v>
      </c>
      <c r="E198" t="s">
        <v>98</v>
      </c>
      <c r="F198" t="s">
        <v>99</v>
      </c>
      <c r="G198" t="s">
        <v>100</v>
      </c>
      <c r="H198">
        <v>99999</v>
      </c>
      <c r="I198" t="s">
        <v>30</v>
      </c>
      <c r="J198" t="s">
        <v>101</v>
      </c>
      <c r="K198" t="s">
        <v>45</v>
      </c>
      <c r="L198" s="2">
        <v>41863</v>
      </c>
      <c r="M198" t="s">
        <v>46</v>
      </c>
      <c r="N198" t="s">
        <v>102</v>
      </c>
      <c r="O198" t="s">
        <v>98</v>
      </c>
      <c r="P198" t="s">
        <v>99</v>
      </c>
      <c r="Q198" t="s">
        <v>100</v>
      </c>
      <c r="R198">
        <v>99999</v>
      </c>
      <c r="S198" t="s">
        <v>30</v>
      </c>
      <c r="U198" t="s">
        <v>64</v>
      </c>
      <c r="V198" t="s">
        <v>65</v>
      </c>
      <c r="W198" s="3">
        <v>9.1999999999999993</v>
      </c>
      <c r="X198">
        <v>96</v>
      </c>
      <c r="Y198" s="4">
        <v>883.19999999999993</v>
      </c>
      <c r="Z198" s="3">
        <v>86.553599999999989</v>
      </c>
    </row>
    <row r="199" spans="1:26" hidden="1" x14ac:dyDescent="0.35">
      <c r="A199">
        <v>1229</v>
      </c>
      <c r="B199" s="2">
        <v>41862</v>
      </c>
      <c r="C199">
        <v>11</v>
      </c>
      <c r="D199" t="s">
        <v>113</v>
      </c>
      <c r="E199" t="s">
        <v>114</v>
      </c>
      <c r="F199" t="s">
        <v>115</v>
      </c>
      <c r="G199" t="s">
        <v>116</v>
      </c>
      <c r="H199">
        <v>99999</v>
      </c>
      <c r="I199" t="s">
        <v>30</v>
      </c>
      <c r="J199" t="s">
        <v>94</v>
      </c>
      <c r="K199" t="s">
        <v>95</v>
      </c>
      <c r="L199" s="2"/>
      <c r="M199" t="s">
        <v>62</v>
      </c>
      <c r="N199" t="s">
        <v>117</v>
      </c>
      <c r="O199" t="s">
        <v>114</v>
      </c>
      <c r="P199" t="s">
        <v>115</v>
      </c>
      <c r="Q199" t="s">
        <v>116</v>
      </c>
      <c r="R199">
        <v>99999</v>
      </c>
      <c r="S199" t="s">
        <v>30</v>
      </c>
      <c r="U199" t="s">
        <v>38</v>
      </c>
      <c r="V199" t="s">
        <v>39</v>
      </c>
      <c r="W199" s="3">
        <v>3.5</v>
      </c>
      <c r="X199">
        <v>31</v>
      </c>
      <c r="Y199" s="4">
        <v>108.5</v>
      </c>
      <c r="Z199" s="3">
        <v>10.850000000000001</v>
      </c>
    </row>
    <row r="200" spans="1:26" hidden="1" x14ac:dyDescent="0.35">
      <c r="A200">
        <v>1230</v>
      </c>
      <c r="B200" s="2">
        <v>41862</v>
      </c>
      <c r="C200">
        <v>11</v>
      </c>
      <c r="D200" t="s">
        <v>113</v>
      </c>
      <c r="E200" t="s">
        <v>114</v>
      </c>
      <c r="F200" t="s">
        <v>115</v>
      </c>
      <c r="G200" t="s">
        <v>116</v>
      </c>
      <c r="H200">
        <v>99999</v>
      </c>
      <c r="I200" t="s">
        <v>30</v>
      </c>
      <c r="J200" t="s">
        <v>94</v>
      </c>
      <c r="K200" t="s">
        <v>95</v>
      </c>
      <c r="L200" s="2"/>
      <c r="M200" t="s">
        <v>62</v>
      </c>
      <c r="N200" t="s">
        <v>117</v>
      </c>
      <c r="O200" t="s">
        <v>114</v>
      </c>
      <c r="P200" t="s">
        <v>115</v>
      </c>
      <c r="Q200" t="s">
        <v>116</v>
      </c>
      <c r="R200">
        <v>99999</v>
      </c>
      <c r="S200" t="s">
        <v>30</v>
      </c>
      <c r="U200" t="s">
        <v>103</v>
      </c>
      <c r="V200" t="s">
        <v>37</v>
      </c>
      <c r="W200" s="3">
        <v>2.99</v>
      </c>
      <c r="X200">
        <v>52</v>
      </c>
      <c r="Y200" s="4">
        <v>155.48000000000002</v>
      </c>
      <c r="Z200" s="3">
        <v>16.014440000000004</v>
      </c>
    </row>
    <row r="201" spans="1:26" hidden="1" x14ac:dyDescent="0.35">
      <c r="A201">
        <v>1231</v>
      </c>
      <c r="B201" s="2">
        <v>41852</v>
      </c>
      <c r="C201">
        <v>1</v>
      </c>
      <c r="D201" t="s">
        <v>118</v>
      </c>
      <c r="E201" t="s">
        <v>119</v>
      </c>
      <c r="F201" t="s">
        <v>120</v>
      </c>
      <c r="G201" t="s">
        <v>121</v>
      </c>
      <c r="H201">
        <v>99999</v>
      </c>
      <c r="I201" t="s">
        <v>30</v>
      </c>
      <c r="J201" t="s">
        <v>60</v>
      </c>
      <c r="K201" t="s">
        <v>61</v>
      </c>
      <c r="L201" s="2"/>
      <c r="N201" t="s">
        <v>122</v>
      </c>
      <c r="O201" t="s">
        <v>119</v>
      </c>
      <c r="P201" t="s">
        <v>120</v>
      </c>
      <c r="Q201" t="s">
        <v>121</v>
      </c>
      <c r="R201">
        <v>99999</v>
      </c>
      <c r="S201" t="s">
        <v>30</v>
      </c>
      <c r="U201" t="s">
        <v>54</v>
      </c>
      <c r="V201" t="s">
        <v>37</v>
      </c>
      <c r="W201" s="3">
        <v>18</v>
      </c>
      <c r="X201">
        <v>91</v>
      </c>
      <c r="Y201" s="4">
        <v>1638</v>
      </c>
      <c r="Z201" s="3">
        <v>158.886</v>
      </c>
    </row>
    <row r="202" spans="1:26" hidden="1" x14ac:dyDescent="0.35">
      <c r="A202">
        <v>1232</v>
      </c>
      <c r="B202" s="2">
        <v>41852</v>
      </c>
      <c r="C202">
        <v>1</v>
      </c>
      <c r="D202" t="s">
        <v>118</v>
      </c>
      <c r="E202" t="s">
        <v>119</v>
      </c>
      <c r="F202" t="s">
        <v>120</v>
      </c>
      <c r="G202" t="s">
        <v>121</v>
      </c>
      <c r="H202">
        <v>99999</v>
      </c>
      <c r="I202" t="s">
        <v>30</v>
      </c>
      <c r="J202" t="s">
        <v>60</v>
      </c>
      <c r="K202" t="s">
        <v>61</v>
      </c>
      <c r="L202" s="2"/>
      <c r="N202" t="s">
        <v>122</v>
      </c>
      <c r="O202" t="s">
        <v>119</v>
      </c>
      <c r="P202" t="s">
        <v>120</v>
      </c>
      <c r="Q202" t="s">
        <v>121</v>
      </c>
      <c r="R202">
        <v>99999</v>
      </c>
      <c r="S202" t="s">
        <v>30</v>
      </c>
      <c r="U202" t="s">
        <v>55</v>
      </c>
      <c r="V202" t="s">
        <v>37</v>
      </c>
      <c r="W202" s="3">
        <v>46</v>
      </c>
      <c r="X202">
        <v>14</v>
      </c>
      <c r="Y202" s="4">
        <v>644</v>
      </c>
      <c r="Z202" s="3">
        <v>63.756000000000007</v>
      </c>
    </row>
    <row r="203" spans="1:26" hidden="1" x14ac:dyDescent="0.35">
      <c r="A203">
        <v>1233</v>
      </c>
      <c r="B203" s="2">
        <v>41852</v>
      </c>
      <c r="C203">
        <v>1</v>
      </c>
      <c r="D203" t="s">
        <v>118</v>
      </c>
      <c r="E203" t="s">
        <v>119</v>
      </c>
      <c r="F203" t="s">
        <v>120</v>
      </c>
      <c r="G203" t="s">
        <v>121</v>
      </c>
      <c r="H203">
        <v>99999</v>
      </c>
      <c r="I203" t="s">
        <v>30</v>
      </c>
      <c r="J203" t="s">
        <v>60</v>
      </c>
      <c r="K203" t="s">
        <v>61</v>
      </c>
      <c r="L203" s="2"/>
      <c r="N203" t="s">
        <v>122</v>
      </c>
      <c r="O203" t="s">
        <v>119</v>
      </c>
      <c r="P203" t="s">
        <v>120</v>
      </c>
      <c r="Q203" t="s">
        <v>121</v>
      </c>
      <c r="R203">
        <v>99999</v>
      </c>
      <c r="S203" t="s">
        <v>30</v>
      </c>
      <c r="U203" t="s">
        <v>103</v>
      </c>
      <c r="V203" t="s">
        <v>37</v>
      </c>
      <c r="W203">
        <v>2.99</v>
      </c>
      <c r="X203">
        <v>44</v>
      </c>
      <c r="Y203" s="4">
        <v>131.56</v>
      </c>
      <c r="Z203" s="3">
        <v>13.287560000000001</v>
      </c>
    </row>
    <row r="204" spans="1:26" hidden="1" x14ac:dyDescent="0.35">
      <c r="A204">
        <v>1234</v>
      </c>
      <c r="B204" s="2">
        <v>41879</v>
      </c>
      <c r="C204">
        <v>28</v>
      </c>
      <c r="D204" t="s">
        <v>90</v>
      </c>
      <c r="E204" t="s">
        <v>91</v>
      </c>
      <c r="F204" t="s">
        <v>92</v>
      </c>
      <c r="G204" t="s">
        <v>93</v>
      </c>
      <c r="H204">
        <v>99999</v>
      </c>
      <c r="I204" t="s">
        <v>30</v>
      </c>
      <c r="J204" t="s">
        <v>94</v>
      </c>
      <c r="K204" t="s">
        <v>95</v>
      </c>
      <c r="L204" s="2">
        <v>41881</v>
      </c>
      <c r="M204" t="s">
        <v>62</v>
      </c>
      <c r="N204" t="s">
        <v>96</v>
      </c>
      <c r="O204" t="s">
        <v>91</v>
      </c>
      <c r="P204" t="s">
        <v>92</v>
      </c>
      <c r="Q204" t="s">
        <v>93</v>
      </c>
      <c r="R204">
        <v>99999</v>
      </c>
      <c r="S204" t="s">
        <v>30</v>
      </c>
      <c r="T204" t="s">
        <v>48</v>
      </c>
      <c r="U204" t="s">
        <v>80</v>
      </c>
      <c r="V204" t="s">
        <v>81</v>
      </c>
      <c r="W204">
        <v>9.65</v>
      </c>
      <c r="X204">
        <v>97</v>
      </c>
      <c r="Y204" s="4">
        <v>936.05000000000007</v>
      </c>
      <c r="Z204" s="3">
        <v>95.477100000000021</v>
      </c>
    </row>
    <row r="205" spans="1:26" hidden="1" x14ac:dyDescent="0.35">
      <c r="A205">
        <v>1235</v>
      </c>
      <c r="B205" s="2">
        <v>41879</v>
      </c>
      <c r="C205">
        <v>28</v>
      </c>
      <c r="D205" t="s">
        <v>90</v>
      </c>
      <c r="E205" t="s">
        <v>91</v>
      </c>
      <c r="F205" t="s">
        <v>92</v>
      </c>
      <c r="G205" t="s">
        <v>93</v>
      </c>
      <c r="H205">
        <v>99999</v>
      </c>
      <c r="I205" t="s">
        <v>30</v>
      </c>
      <c r="J205" t="s">
        <v>94</v>
      </c>
      <c r="K205" t="s">
        <v>95</v>
      </c>
      <c r="L205" s="2">
        <v>41881</v>
      </c>
      <c r="M205" t="s">
        <v>62</v>
      </c>
      <c r="N205" t="s">
        <v>96</v>
      </c>
      <c r="O205" t="s">
        <v>91</v>
      </c>
      <c r="P205" t="s">
        <v>92</v>
      </c>
      <c r="Q205" t="s">
        <v>93</v>
      </c>
      <c r="R205">
        <v>99999</v>
      </c>
      <c r="S205" t="s">
        <v>30</v>
      </c>
      <c r="T205" t="s">
        <v>48</v>
      </c>
      <c r="U205" t="s">
        <v>123</v>
      </c>
      <c r="V205" t="s">
        <v>124</v>
      </c>
      <c r="W205">
        <v>18.399999999999999</v>
      </c>
      <c r="X205">
        <v>80</v>
      </c>
      <c r="Y205" s="4">
        <v>1472</v>
      </c>
      <c r="Z205" s="3">
        <v>150.14400000000003</v>
      </c>
    </row>
    <row r="206" spans="1:26" hidden="1" x14ac:dyDescent="0.35">
      <c r="A206">
        <v>1236</v>
      </c>
      <c r="B206" s="2">
        <v>41860</v>
      </c>
      <c r="C206">
        <v>9</v>
      </c>
      <c r="D206" t="s">
        <v>125</v>
      </c>
      <c r="E206" t="s">
        <v>126</v>
      </c>
      <c r="F206" t="s">
        <v>127</v>
      </c>
      <c r="G206" t="s">
        <v>128</v>
      </c>
      <c r="H206">
        <v>99999</v>
      </c>
      <c r="I206" t="s">
        <v>30</v>
      </c>
      <c r="J206" t="s">
        <v>129</v>
      </c>
      <c r="K206" t="s">
        <v>32</v>
      </c>
      <c r="L206" s="2">
        <v>41862</v>
      </c>
      <c r="M206" t="s">
        <v>46</v>
      </c>
      <c r="N206" t="s">
        <v>130</v>
      </c>
      <c r="O206" t="s">
        <v>126</v>
      </c>
      <c r="P206" t="s">
        <v>127</v>
      </c>
      <c r="Q206" t="s">
        <v>128</v>
      </c>
      <c r="R206">
        <v>99999</v>
      </c>
      <c r="S206" t="s">
        <v>30</v>
      </c>
      <c r="T206" t="s">
        <v>35</v>
      </c>
      <c r="U206" t="s">
        <v>131</v>
      </c>
      <c r="V206" t="s">
        <v>132</v>
      </c>
      <c r="W206">
        <v>19.5</v>
      </c>
      <c r="X206">
        <v>66</v>
      </c>
      <c r="Y206" s="4">
        <v>1287</v>
      </c>
      <c r="Z206" s="3">
        <v>132.56100000000001</v>
      </c>
    </row>
    <row r="207" spans="1:26" hidden="1" x14ac:dyDescent="0.35">
      <c r="A207">
        <v>1237</v>
      </c>
      <c r="B207" s="2">
        <v>41860</v>
      </c>
      <c r="C207">
        <v>9</v>
      </c>
      <c r="D207" t="s">
        <v>125</v>
      </c>
      <c r="E207" t="s">
        <v>126</v>
      </c>
      <c r="F207" t="s">
        <v>127</v>
      </c>
      <c r="G207" t="s">
        <v>128</v>
      </c>
      <c r="H207">
        <v>99999</v>
      </c>
      <c r="I207" t="s">
        <v>30</v>
      </c>
      <c r="J207" t="s">
        <v>129</v>
      </c>
      <c r="K207" t="s">
        <v>32</v>
      </c>
      <c r="L207" s="2">
        <v>41862</v>
      </c>
      <c r="M207" t="s">
        <v>46</v>
      </c>
      <c r="N207" t="s">
        <v>130</v>
      </c>
      <c r="O207" t="s">
        <v>126</v>
      </c>
      <c r="P207" t="s">
        <v>127</v>
      </c>
      <c r="Q207" t="s">
        <v>128</v>
      </c>
      <c r="R207">
        <v>99999</v>
      </c>
      <c r="S207" t="s">
        <v>30</v>
      </c>
      <c r="T207" t="s">
        <v>35</v>
      </c>
      <c r="U207" t="s">
        <v>133</v>
      </c>
      <c r="V207" t="s">
        <v>134</v>
      </c>
      <c r="W207">
        <v>34.799999999999997</v>
      </c>
      <c r="X207">
        <v>32</v>
      </c>
      <c r="Y207" s="4">
        <v>1113.5999999999999</v>
      </c>
      <c r="Z207" s="3">
        <v>111.36</v>
      </c>
    </row>
    <row r="208" spans="1:26" hidden="1" x14ac:dyDescent="0.35">
      <c r="A208">
        <v>1238</v>
      </c>
      <c r="B208" s="2">
        <v>41857</v>
      </c>
      <c r="C208">
        <v>6</v>
      </c>
      <c r="D208" t="s">
        <v>82</v>
      </c>
      <c r="E208" t="s">
        <v>83</v>
      </c>
      <c r="F208" t="s">
        <v>84</v>
      </c>
      <c r="G208" t="s">
        <v>85</v>
      </c>
      <c r="H208">
        <v>99999</v>
      </c>
      <c r="I208" t="s">
        <v>30</v>
      </c>
      <c r="J208" t="s">
        <v>86</v>
      </c>
      <c r="K208" t="s">
        <v>61</v>
      </c>
      <c r="L208" s="2">
        <v>41859</v>
      </c>
      <c r="M208" t="s">
        <v>33</v>
      </c>
      <c r="N208" t="s">
        <v>87</v>
      </c>
      <c r="O208" t="s">
        <v>83</v>
      </c>
      <c r="P208" t="s">
        <v>84</v>
      </c>
      <c r="Q208" t="s">
        <v>85</v>
      </c>
      <c r="R208">
        <v>99999</v>
      </c>
      <c r="S208" t="s">
        <v>30</v>
      </c>
      <c r="T208" t="s">
        <v>48</v>
      </c>
      <c r="U208" t="s">
        <v>36</v>
      </c>
      <c r="V208" t="s">
        <v>37</v>
      </c>
      <c r="W208">
        <v>14</v>
      </c>
      <c r="X208">
        <v>52</v>
      </c>
      <c r="Y208" s="4">
        <v>728</v>
      </c>
      <c r="Z208" s="3">
        <v>72.8</v>
      </c>
    </row>
    <row r="209" spans="1:26" hidden="1" x14ac:dyDescent="0.35">
      <c r="A209">
        <v>1239</v>
      </c>
      <c r="B209" s="2">
        <v>41859</v>
      </c>
      <c r="C209">
        <v>8</v>
      </c>
      <c r="D209" t="s">
        <v>56</v>
      </c>
      <c r="E209" t="s">
        <v>57</v>
      </c>
      <c r="F209" t="s">
        <v>58</v>
      </c>
      <c r="G209" t="s">
        <v>59</v>
      </c>
      <c r="H209">
        <v>99999</v>
      </c>
      <c r="I209" t="s">
        <v>30</v>
      </c>
      <c r="J209" t="s">
        <v>60</v>
      </c>
      <c r="K209" t="s">
        <v>61</v>
      </c>
      <c r="L209" s="2">
        <v>41861</v>
      </c>
      <c r="M209" t="s">
        <v>33</v>
      </c>
      <c r="N209" t="s">
        <v>63</v>
      </c>
      <c r="O209" t="s">
        <v>57</v>
      </c>
      <c r="P209" t="s">
        <v>58</v>
      </c>
      <c r="Q209" t="s">
        <v>59</v>
      </c>
      <c r="R209">
        <v>99999</v>
      </c>
      <c r="S209" t="s">
        <v>30</v>
      </c>
      <c r="T209" t="s">
        <v>35</v>
      </c>
      <c r="U209" t="s">
        <v>88</v>
      </c>
      <c r="V209" t="s">
        <v>89</v>
      </c>
      <c r="W209">
        <v>40</v>
      </c>
      <c r="X209">
        <v>78</v>
      </c>
      <c r="Y209" s="4">
        <v>3120</v>
      </c>
      <c r="Z209" s="3">
        <v>318.24</v>
      </c>
    </row>
    <row r="210" spans="1:26" hidden="1" x14ac:dyDescent="0.35">
      <c r="A210">
        <v>1240</v>
      </c>
      <c r="B210" s="2">
        <v>41859</v>
      </c>
      <c r="C210">
        <v>8</v>
      </c>
      <c r="D210" t="s">
        <v>56</v>
      </c>
      <c r="E210" t="s">
        <v>57</v>
      </c>
      <c r="F210" t="s">
        <v>58</v>
      </c>
      <c r="G210" t="s">
        <v>59</v>
      </c>
      <c r="H210">
        <v>99999</v>
      </c>
      <c r="I210" t="s">
        <v>30</v>
      </c>
      <c r="J210" t="s">
        <v>60</v>
      </c>
      <c r="K210" t="s">
        <v>61</v>
      </c>
      <c r="L210" s="2">
        <v>41861</v>
      </c>
      <c r="M210" t="s">
        <v>33</v>
      </c>
      <c r="N210" t="s">
        <v>63</v>
      </c>
      <c r="O210" t="s">
        <v>57</v>
      </c>
      <c r="P210" t="s">
        <v>58</v>
      </c>
      <c r="Q210" t="s">
        <v>59</v>
      </c>
      <c r="R210">
        <v>99999</v>
      </c>
      <c r="S210" t="s">
        <v>30</v>
      </c>
      <c r="T210" t="s">
        <v>35</v>
      </c>
      <c r="U210" t="s">
        <v>64</v>
      </c>
      <c r="V210" t="s">
        <v>65</v>
      </c>
      <c r="W210">
        <v>9.1999999999999993</v>
      </c>
      <c r="X210">
        <v>54</v>
      </c>
      <c r="Y210" s="4">
        <v>496.79999999999995</v>
      </c>
      <c r="Z210" s="3">
        <v>49.183199999999999</v>
      </c>
    </row>
    <row r="211" spans="1:26" hidden="1" x14ac:dyDescent="0.35">
      <c r="A211">
        <v>1241</v>
      </c>
      <c r="B211" s="2">
        <v>41876</v>
      </c>
      <c r="C211">
        <v>25</v>
      </c>
      <c r="D211" t="s">
        <v>137</v>
      </c>
      <c r="E211" t="s">
        <v>138</v>
      </c>
      <c r="F211" t="s">
        <v>99</v>
      </c>
      <c r="G211" t="s">
        <v>100</v>
      </c>
      <c r="H211">
        <v>99999</v>
      </c>
      <c r="I211" t="s">
        <v>30</v>
      </c>
      <c r="J211" t="s">
        <v>101</v>
      </c>
      <c r="K211" t="s">
        <v>45</v>
      </c>
      <c r="L211" s="2">
        <v>41878</v>
      </c>
      <c r="M211" t="s">
        <v>46</v>
      </c>
      <c r="N211" t="s">
        <v>139</v>
      </c>
      <c r="O211" t="s">
        <v>138</v>
      </c>
      <c r="P211" t="s">
        <v>99</v>
      </c>
      <c r="Q211" t="s">
        <v>100</v>
      </c>
      <c r="R211">
        <v>99999</v>
      </c>
      <c r="S211" t="s">
        <v>30</v>
      </c>
      <c r="T211" t="s">
        <v>79</v>
      </c>
      <c r="U211" t="s">
        <v>146</v>
      </c>
      <c r="V211" t="s">
        <v>65</v>
      </c>
      <c r="W211">
        <v>10</v>
      </c>
      <c r="X211">
        <v>55</v>
      </c>
      <c r="Y211" s="4">
        <v>550</v>
      </c>
      <c r="Z211" s="3">
        <v>52.25</v>
      </c>
    </row>
    <row r="212" spans="1:26" hidden="1" x14ac:dyDescent="0.35">
      <c r="A212">
        <v>1242</v>
      </c>
      <c r="B212" s="2">
        <v>41877</v>
      </c>
      <c r="C212">
        <v>26</v>
      </c>
      <c r="D212" t="s">
        <v>140</v>
      </c>
      <c r="E212" t="s">
        <v>141</v>
      </c>
      <c r="F212" t="s">
        <v>115</v>
      </c>
      <c r="G212" t="s">
        <v>116</v>
      </c>
      <c r="H212">
        <v>99999</v>
      </c>
      <c r="I212" t="s">
        <v>30</v>
      </c>
      <c r="J212" t="s">
        <v>94</v>
      </c>
      <c r="K212" t="s">
        <v>95</v>
      </c>
      <c r="L212" s="2">
        <v>41879</v>
      </c>
      <c r="M212" t="s">
        <v>62</v>
      </c>
      <c r="N212" t="s">
        <v>142</v>
      </c>
      <c r="O212" t="s">
        <v>141</v>
      </c>
      <c r="P212" t="s">
        <v>115</v>
      </c>
      <c r="Q212" t="s">
        <v>116</v>
      </c>
      <c r="R212">
        <v>99999</v>
      </c>
      <c r="S212" t="s">
        <v>30</v>
      </c>
      <c r="T212" t="s">
        <v>48</v>
      </c>
      <c r="U212" t="s">
        <v>147</v>
      </c>
      <c r="V212" t="s">
        <v>148</v>
      </c>
      <c r="W212">
        <v>21.35</v>
      </c>
      <c r="X212">
        <v>60</v>
      </c>
      <c r="Y212" s="4">
        <v>1281</v>
      </c>
      <c r="Z212" s="3">
        <v>129.381</v>
      </c>
    </row>
    <row r="213" spans="1:26" hidden="1" x14ac:dyDescent="0.35">
      <c r="A213">
        <v>1243</v>
      </c>
      <c r="B213" s="2">
        <v>41877</v>
      </c>
      <c r="C213">
        <v>26</v>
      </c>
      <c r="D213" t="s">
        <v>140</v>
      </c>
      <c r="E213" t="s">
        <v>141</v>
      </c>
      <c r="F213" t="s">
        <v>115</v>
      </c>
      <c r="G213" t="s">
        <v>116</v>
      </c>
      <c r="H213">
        <v>99999</v>
      </c>
      <c r="I213" t="s">
        <v>30</v>
      </c>
      <c r="J213" t="s">
        <v>94</v>
      </c>
      <c r="K213" t="s">
        <v>95</v>
      </c>
      <c r="L213" s="2">
        <v>41879</v>
      </c>
      <c r="M213" t="s">
        <v>62</v>
      </c>
      <c r="N213" t="s">
        <v>142</v>
      </c>
      <c r="O213" t="s">
        <v>141</v>
      </c>
      <c r="P213" t="s">
        <v>115</v>
      </c>
      <c r="Q213" t="s">
        <v>116</v>
      </c>
      <c r="R213">
        <v>99999</v>
      </c>
      <c r="S213" t="s">
        <v>30</v>
      </c>
      <c r="T213" t="s">
        <v>48</v>
      </c>
      <c r="U213" t="s">
        <v>80</v>
      </c>
      <c r="V213" t="s">
        <v>81</v>
      </c>
      <c r="W213">
        <v>9.65</v>
      </c>
      <c r="X213">
        <v>19</v>
      </c>
      <c r="Y213" s="4">
        <v>183.35</v>
      </c>
      <c r="Z213" s="3">
        <v>17.41825</v>
      </c>
    </row>
    <row r="214" spans="1:26" hidden="1" x14ac:dyDescent="0.35">
      <c r="A214">
        <v>1244</v>
      </c>
      <c r="B214" s="2">
        <v>41877</v>
      </c>
      <c r="C214">
        <v>26</v>
      </c>
      <c r="D214" t="s">
        <v>140</v>
      </c>
      <c r="E214" t="s">
        <v>141</v>
      </c>
      <c r="F214" t="s">
        <v>115</v>
      </c>
      <c r="G214" t="s">
        <v>116</v>
      </c>
      <c r="H214">
        <v>99999</v>
      </c>
      <c r="I214" t="s">
        <v>30</v>
      </c>
      <c r="J214" t="s">
        <v>94</v>
      </c>
      <c r="K214" t="s">
        <v>95</v>
      </c>
      <c r="L214" s="2">
        <v>41879</v>
      </c>
      <c r="M214" t="s">
        <v>62</v>
      </c>
      <c r="N214" t="s">
        <v>142</v>
      </c>
      <c r="O214" t="s">
        <v>141</v>
      </c>
      <c r="P214" t="s">
        <v>115</v>
      </c>
      <c r="Q214" t="s">
        <v>116</v>
      </c>
      <c r="R214">
        <v>99999</v>
      </c>
      <c r="S214" t="s">
        <v>30</v>
      </c>
      <c r="T214" t="s">
        <v>48</v>
      </c>
      <c r="U214" t="s">
        <v>123</v>
      </c>
      <c r="V214" t="s">
        <v>124</v>
      </c>
      <c r="W214">
        <v>18.399999999999999</v>
      </c>
      <c r="X214">
        <v>66</v>
      </c>
      <c r="Y214" s="4">
        <v>1214.3999999999999</v>
      </c>
      <c r="Z214" s="3">
        <v>125.08320000000001</v>
      </c>
    </row>
    <row r="215" spans="1:26" hidden="1" x14ac:dyDescent="0.35">
      <c r="A215">
        <v>1245</v>
      </c>
      <c r="B215" s="2">
        <v>41880</v>
      </c>
      <c r="C215">
        <v>29</v>
      </c>
      <c r="D215" t="s">
        <v>66</v>
      </c>
      <c r="E215" t="s">
        <v>67</v>
      </c>
      <c r="F215" t="s">
        <v>68</v>
      </c>
      <c r="G215" t="s">
        <v>69</v>
      </c>
      <c r="H215">
        <v>99999</v>
      </c>
      <c r="I215" t="s">
        <v>30</v>
      </c>
      <c r="J215" t="s">
        <v>70</v>
      </c>
      <c r="K215" t="s">
        <v>32</v>
      </c>
      <c r="L215" s="2">
        <v>41882</v>
      </c>
      <c r="M215" t="s">
        <v>33</v>
      </c>
      <c r="N215" t="s">
        <v>71</v>
      </c>
      <c r="O215" t="s">
        <v>67</v>
      </c>
      <c r="P215" t="s">
        <v>68</v>
      </c>
      <c r="Q215" t="s">
        <v>69</v>
      </c>
      <c r="R215">
        <v>99999</v>
      </c>
      <c r="S215" t="s">
        <v>30</v>
      </c>
      <c r="T215" t="s">
        <v>35</v>
      </c>
      <c r="U215" t="s">
        <v>36</v>
      </c>
      <c r="V215" t="s">
        <v>37</v>
      </c>
      <c r="W215">
        <v>14</v>
      </c>
      <c r="X215">
        <v>42</v>
      </c>
      <c r="Y215" s="4">
        <v>588</v>
      </c>
      <c r="Z215" s="3">
        <v>59.388000000000005</v>
      </c>
    </row>
    <row r="216" spans="1:26" hidden="1" x14ac:dyDescent="0.35">
      <c r="A216">
        <v>1246</v>
      </c>
      <c r="B216" s="2">
        <v>41857</v>
      </c>
      <c r="C216">
        <v>6</v>
      </c>
      <c r="D216" t="s">
        <v>82</v>
      </c>
      <c r="E216" t="s">
        <v>83</v>
      </c>
      <c r="F216" t="s">
        <v>84</v>
      </c>
      <c r="G216" t="s">
        <v>85</v>
      </c>
      <c r="H216">
        <v>99999</v>
      </c>
      <c r="I216" t="s">
        <v>30</v>
      </c>
      <c r="J216" t="s">
        <v>86</v>
      </c>
      <c r="K216" t="s">
        <v>61</v>
      </c>
      <c r="L216">
        <v>41859</v>
      </c>
      <c r="M216" t="s">
        <v>62</v>
      </c>
      <c r="N216" t="s">
        <v>87</v>
      </c>
      <c r="O216" t="s">
        <v>83</v>
      </c>
      <c r="P216" t="s">
        <v>84</v>
      </c>
      <c r="Q216" t="s">
        <v>85</v>
      </c>
      <c r="R216">
        <v>99999</v>
      </c>
      <c r="S216" t="s">
        <v>30</v>
      </c>
      <c r="T216" t="s">
        <v>35</v>
      </c>
      <c r="U216" t="s">
        <v>72</v>
      </c>
      <c r="V216" t="s">
        <v>73</v>
      </c>
      <c r="W216">
        <v>12.75</v>
      </c>
      <c r="X216">
        <v>72</v>
      </c>
      <c r="Y216" s="4">
        <v>918</v>
      </c>
      <c r="Z216" s="3">
        <v>89.046000000000006</v>
      </c>
    </row>
    <row r="217" spans="1:26" hidden="1" x14ac:dyDescent="0.35">
      <c r="A217">
        <v>1248</v>
      </c>
      <c r="B217" s="2">
        <v>41855</v>
      </c>
      <c r="C217">
        <v>4</v>
      </c>
      <c r="D217" t="s">
        <v>40</v>
      </c>
      <c r="E217" t="s">
        <v>41</v>
      </c>
      <c r="F217" t="s">
        <v>42</v>
      </c>
      <c r="G217" t="s">
        <v>43</v>
      </c>
      <c r="H217">
        <v>99999</v>
      </c>
      <c r="I217" t="s">
        <v>30</v>
      </c>
      <c r="J217" t="s">
        <v>44</v>
      </c>
      <c r="K217" t="s">
        <v>45</v>
      </c>
      <c r="L217">
        <v>41857</v>
      </c>
      <c r="M217" t="s">
        <v>46</v>
      </c>
      <c r="N217" t="s">
        <v>47</v>
      </c>
      <c r="O217" t="s">
        <v>41</v>
      </c>
      <c r="P217" t="s">
        <v>42</v>
      </c>
      <c r="Q217" t="s">
        <v>43</v>
      </c>
      <c r="R217">
        <v>99999</v>
      </c>
      <c r="S217" t="s">
        <v>30</v>
      </c>
      <c r="T217" t="s">
        <v>48</v>
      </c>
      <c r="U217" t="s">
        <v>149</v>
      </c>
      <c r="V217" t="s">
        <v>110</v>
      </c>
      <c r="W217">
        <v>81</v>
      </c>
      <c r="X217">
        <v>32</v>
      </c>
      <c r="Y217" s="4">
        <v>2592</v>
      </c>
      <c r="Z217" s="3">
        <v>251.42399999999998</v>
      </c>
    </row>
    <row r="218" spans="1:26" hidden="1" x14ac:dyDescent="0.35">
      <c r="A218">
        <v>1249</v>
      </c>
      <c r="B218" s="2">
        <v>41855</v>
      </c>
      <c r="C218">
        <v>4</v>
      </c>
      <c r="D218" t="s">
        <v>40</v>
      </c>
      <c r="E218" t="s">
        <v>41</v>
      </c>
      <c r="F218" t="s">
        <v>42</v>
      </c>
      <c r="G218" t="s">
        <v>43</v>
      </c>
      <c r="H218">
        <v>99999</v>
      </c>
      <c r="I218" t="s">
        <v>30</v>
      </c>
      <c r="J218" t="s">
        <v>44</v>
      </c>
      <c r="K218" t="s">
        <v>45</v>
      </c>
      <c r="L218">
        <v>41857</v>
      </c>
      <c r="M218" t="s">
        <v>46</v>
      </c>
      <c r="N218" t="s">
        <v>47</v>
      </c>
      <c r="O218" t="s">
        <v>41</v>
      </c>
      <c r="P218" t="s">
        <v>42</v>
      </c>
      <c r="Q218" t="s">
        <v>43</v>
      </c>
      <c r="R218">
        <v>99999</v>
      </c>
      <c r="S218" t="s">
        <v>30</v>
      </c>
      <c r="T218" t="s">
        <v>48</v>
      </c>
      <c r="U218" t="s">
        <v>150</v>
      </c>
      <c r="V218" t="s">
        <v>151</v>
      </c>
      <c r="W218">
        <v>7</v>
      </c>
      <c r="X218">
        <v>76</v>
      </c>
      <c r="Y218" s="4">
        <v>532</v>
      </c>
      <c r="Z218" s="3">
        <v>53.732000000000006</v>
      </c>
    </row>
    <row r="219" spans="1:26" hidden="1" x14ac:dyDescent="0.35">
      <c r="A219">
        <v>1250</v>
      </c>
      <c r="B219" s="2">
        <v>41892</v>
      </c>
      <c r="C219">
        <v>10</v>
      </c>
      <c r="D219" t="s">
        <v>97</v>
      </c>
      <c r="E219" t="s">
        <v>98</v>
      </c>
      <c r="F219" t="s">
        <v>99</v>
      </c>
      <c r="G219" t="s">
        <v>100</v>
      </c>
      <c r="H219">
        <v>99999</v>
      </c>
      <c r="I219" t="s">
        <v>30</v>
      </c>
      <c r="J219" t="s">
        <v>101</v>
      </c>
      <c r="K219" t="s">
        <v>45</v>
      </c>
      <c r="L219">
        <v>41894</v>
      </c>
      <c r="M219" t="s">
        <v>46</v>
      </c>
      <c r="N219" t="s">
        <v>102</v>
      </c>
      <c r="O219" t="s">
        <v>98</v>
      </c>
      <c r="P219" t="s">
        <v>99</v>
      </c>
      <c r="Q219" t="s">
        <v>100</v>
      </c>
      <c r="R219">
        <v>99999</v>
      </c>
      <c r="S219" t="s">
        <v>30</v>
      </c>
      <c r="U219" t="s">
        <v>64</v>
      </c>
      <c r="V219" t="s">
        <v>65</v>
      </c>
      <c r="W219">
        <v>9.1999999999999993</v>
      </c>
      <c r="X219">
        <v>83</v>
      </c>
      <c r="Y219" s="4">
        <v>763.59999999999991</v>
      </c>
      <c r="Z219" s="3">
        <v>74.832799999999992</v>
      </c>
    </row>
    <row r="220" spans="1:26" hidden="1" x14ac:dyDescent="0.35">
      <c r="A220">
        <v>1251</v>
      </c>
      <c r="B220" s="2">
        <v>41893</v>
      </c>
      <c r="C220">
        <v>11</v>
      </c>
      <c r="D220" t="s">
        <v>113</v>
      </c>
      <c r="E220" t="s">
        <v>114</v>
      </c>
      <c r="F220" t="s">
        <v>115</v>
      </c>
      <c r="G220" t="s">
        <v>116</v>
      </c>
      <c r="H220">
        <v>99999</v>
      </c>
      <c r="I220" t="s">
        <v>30</v>
      </c>
      <c r="J220" t="s">
        <v>94</v>
      </c>
      <c r="K220" t="s">
        <v>95</v>
      </c>
      <c r="L220" s="2"/>
      <c r="M220" t="s">
        <v>62</v>
      </c>
      <c r="N220" t="s">
        <v>117</v>
      </c>
      <c r="O220" t="s">
        <v>114</v>
      </c>
      <c r="P220" t="s">
        <v>115</v>
      </c>
      <c r="Q220" t="s">
        <v>116</v>
      </c>
      <c r="R220">
        <v>99999</v>
      </c>
      <c r="S220" t="s">
        <v>30</v>
      </c>
      <c r="U220" t="s">
        <v>38</v>
      </c>
      <c r="V220" t="s">
        <v>39</v>
      </c>
      <c r="W220">
        <v>3.5</v>
      </c>
      <c r="X220">
        <v>91</v>
      </c>
      <c r="Y220" s="4">
        <v>318.5</v>
      </c>
      <c r="Z220" s="3">
        <v>31.213000000000001</v>
      </c>
    </row>
    <row r="221" spans="1:26" hidden="1" x14ac:dyDescent="0.35">
      <c r="A221">
        <v>1252</v>
      </c>
      <c r="B221" s="2">
        <v>41893</v>
      </c>
      <c r="C221">
        <v>11</v>
      </c>
      <c r="D221" t="s">
        <v>113</v>
      </c>
      <c r="E221" t="s">
        <v>114</v>
      </c>
      <c r="F221" t="s">
        <v>115</v>
      </c>
      <c r="G221" t="s">
        <v>116</v>
      </c>
      <c r="H221">
        <v>99999</v>
      </c>
      <c r="I221" t="s">
        <v>30</v>
      </c>
      <c r="J221" t="s">
        <v>94</v>
      </c>
      <c r="K221" t="s">
        <v>95</v>
      </c>
      <c r="L221" s="2"/>
      <c r="M221" t="s">
        <v>62</v>
      </c>
      <c r="N221" t="s">
        <v>117</v>
      </c>
      <c r="O221" t="s">
        <v>114</v>
      </c>
      <c r="P221" t="s">
        <v>115</v>
      </c>
      <c r="Q221" t="s">
        <v>116</v>
      </c>
      <c r="R221">
        <v>99999</v>
      </c>
      <c r="S221" t="s">
        <v>30</v>
      </c>
      <c r="U221" t="s">
        <v>103</v>
      </c>
      <c r="V221" t="s">
        <v>37</v>
      </c>
      <c r="W221">
        <v>2.99</v>
      </c>
      <c r="X221">
        <v>64</v>
      </c>
      <c r="Y221" s="4">
        <v>191.36</v>
      </c>
      <c r="Z221" s="3">
        <v>19.518720000000002</v>
      </c>
    </row>
    <row r="222" spans="1:26" hidden="1" x14ac:dyDescent="0.35">
      <c r="A222">
        <v>1253</v>
      </c>
      <c r="B222" s="2">
        <v>41883</v>
      </c>
      <c r="C222">
        <v>1</v>
      </c>
      <c r="D222" t="s">
        <v>118</v>
      </c>
      <c r="E222" t="s">
        <v>119</v>
      </c>
      <c r="F222" t="s">
        <v>120</v>
      </c>
      <c r="G222" t="s">
        <v>121</v>
      </c>
      <c r="H222">
        <v>99999</v>
      </c>
      <c r="I222" t="s">
        <v>30</v>
      </c>
      <c r="J222" t="s">
        <v>60</v>
      </c>
      <c r="K222" t="s">
        <v>61</v>
      </c>
      <c r="L222" s="2"/>
      <c r="N222" t="s">
        <v>122</v>
      </c>
      <c r="O222" t="s">
        <v>119</v>
      </c>
      <c r="P222" t="s">
        <v>120</v>
      </c>
      <c r="Q222" t="s">
        <v>121</v>
      </c>
      <c r="R222">
        <v>99999</v>
      </c>
      <c r="S222" t="s">
        <v>30</v>
      </c>
      <c r="U222" t="s">
        <v>54</v>
      </c>
      <c r="V222" t="s">
        <v>37</v>
      </c>
      <c r="W222">
        <v>18</v>
      </c>
      <c r="X222">
        <v>58</v>
      </c>
      <c r="Y222" s="4">
        <v>1044</v>
      </c>
      <c r="Z222" s="3">
        <v>103.35600000000001</v>
      </c>
    </row>
    <row r="223" spans="1:26" hidden="1" x14ac:dyDescent="0.35">
      <c r="A223">
        <v>1254</v>
      </c>
      <c r="B223" s="2">
        <v>41883</v>
      </c>
      <c r="C223">
        <v>1</v>
      </c>
      <c r="D223" t="s">
        <v>118</v>
      </c>
      <c r="E223" t="s">
        <v>119</v>
      </c>
      <c r="F223" t="s">
        <v>120</v>
      </c>
      <c r="G223" t="s">
        <v>121</v>
      </c>
      <c r="H223">
        <v>99999</v>
      </c>
      <c r="I223" t="s">
        <v>30</v>
      </c>
      <c r="J223" t="s">
        <v>60</v>
      </c>
      <c r="K223" t="s">
        <v>61</v>
      </c>
      <c r="L223" s="2"/>
      <c r="N223" t="s">
        <v>122</v>
      </c>
      <c r="O223" t="s">
        <v>119</v>
      </c>
      <c r="P223" t="s">
        <v>120</v>
      </c>
      <c r="Q223" t="s">
        <v>121</v>
      </c>
      <c r="R223">
        <v>99999</v>
      </c>
      <c r="S223" t="s">
        <v>30</v>
      </c>
      <c r="U223" t="s">
        <v>55</v>
      </c>
      <c r="V223" t="s">
        <v>37</v>
      </c>
      <c r="W223" s="3">
        <v>46</v>
      </c>
      <c r="X223">
        <v>97</v>
      </c>
      <c r="Y223" s="4">
        <v>4462</v>
      </c>
      <c r="Z223" s="3">
        <v>464.04800000000006</v>
      </c>
    </row>
    <row r="224" spans="1:26" hidden="1" x14ac:dyDescent="0.35">
      <c r="A224">
        <v>1255</v>
      </c>
      <c r="B224" s="2">
        <v>41883</v>
      </c>
      <c r="C224">
        <v>1</v>
      </c>
      <c r="D224" t="s">
        <v>118</v>
      </c>
      <c r="E224" t="s">
        <v>119</v>
      </c>
      <c r="F224" t="s">
        <v>120</v>
      </c>
      <c r="G224" t="s">
        <v>121</v>
      </c>
      <c r="H224">
        <v>99999</v>
      </c>
      <c r="I224" t="s">
        <v>30</v>
      </c>
      <c r="J224" t="s">
        <v>60</v>
      </c>
      <c r="K224" t="s">
        <v>61</v>
      </c>
      <c r="L224" s="2"/>
      <c r="N224" t="s">
        <v>122</v>
      </c>
      <c r="O224" t="s">
        <v>119</v>
      </c>
      <c r="P224" t="s">
        <v>120</v>
      </c>
      <c r="Q224" t="s">
        <v>121</v>
      </c>
      <c r="R224">
        <v>99999</v>
      </c>
      <c r="S224" t="s">
        <v>30</v>
      </c>
      <c r="U224" t="s">
        <v>103</v>
      </c>
      <c r="V224" t="s">
        <v>37</v>
      </c>
      <c r="W224" s="3">
        <v>2.99</v>
      </c>
      <c r="X224">
        <v>14</v>
      </c>
      <c r="Y224" s="4">
        <v>41.86</v>
      </c>
      <c r="Z224" s="3">
        <v>4.35344</v>
      </c>
    </row>
    <row r="225" spans="1:26" hidden="1" x14ac:dyDescent="0.35">
      <c r="A225">
        <v>1256</v>
      </c>
      <c r="B225" s="2">
        <v>41910</v>
      </c>
      <c r="C225">
        <v>28</v>
      </c>
      <c r="D225" t="s">
        <v>90</v>
      </c>
      <c r="E225" t="s">
        <v>91</v>
      </c>
      <c r="F225" t="s">
        <v>92</v>
      </c>
      <c r="G225" t="s">
        <v>93</v>
      </c>
      <c r="H225">
        <v>99999</v>
      </c>
      <c r="I225" t="s">
        <v>30</v>
      </c>
      <c r="J225" t="s">
        <v>94</v>
      </c>
      <c r="K225" t="s">
        <v>95</v>
      </c>
      <c r="L225" s="2">
        <v>41912</v>
      </c>
      <c r="M225" t="s">
        <v>62</v>
      </c>
      <c r="N225" t="s">
        <v>96</v>
      </c>
      <c r="O225" t="s">
        <v>91</v>
      </c>
      <c r="P225" t="s">
        <v>92</v>
      </c>
      <c r="Q225" t="s">
        <v>93</v>
      </c>
      <c r="R225">
        <v>99999</v>
      </c>
      <c r="S225" t="s">
        <v>30</v>
      </c>
      <c r="T225" t="s">
        <v>48</v>
      </c>
      <c r="U225" t="s">
        <v>80</v>
      </c>
      <c r="V225" t="s">
        <v>81</v>
      </c>
      <c r="W225" s="3">
        <v>9.65</v>
      </c>
      <c r="X225">
        <v>68</v>
      </c>
      <c r="Y225" s="4">
        <v>656.2</v>
      </c>
      <c r="Z225" s="3">
        <v>64.307600000000008</v>
      </c>
    </row>
    <row r="226" spans="1:26" hidden="1" x14ac:dyDescent="0.35">
      <c r="A226">
        <v>1257</v>
      </c>
      <c r="B226" s="2">
        <v>41910</v>
      </c>
      <c r="C226">
        <v>28</v>
      </c>
      <c r="D226" t="s">
        <v>90</v>
      </c>
      <c r="E226" t="s">
        <v>91</v>
      </c>
      <c r="F226" t="s">
        <v>92</v>
      </c>
      <c r="G226" t="s">
        <v>93</v>
      </c>
      <c r="H226">
        <v>99999</v>
      </c>
      <c r="I226" t="s">
        <v>30</v>
      </c>
      <c r="J226" t="s">
        <v>94</v>
      </c>
      <c r="K226" t="s">
        <v>95</v>
      </c>
      <c r="L226">
        <v>41912</v>
      </c>
      <c r="M226" t="s">
        <v>62</v>
      </c>
      <c r="N226" t="s">
        <v>96</v>
      </c>
      <c r="O226" t="s">
        <v>91</v>
      </c>
      <c r="P226" t="s">
        <v>92</v>
      </c>
      <c r="Q226" t="s">
        <v>93</v>
      </c>
      <c r="R226">
        <v>99999</v>
      </c>
      <c r="S226" t="s">
        <v>30</v>
      </c>
      <c r="T226" t="s">
        <v>48</v>
      </c>
      <c r="U226" t="s">
        <v>123</v>
      </c>
      <c r="V226" t="s">
        <v>124</v>
      </c>
      <c r="W226" s="3">
        <v>18.399999999999999</v>
      </c>
      <c r="X226">
        <v>32</v>
      </c>
      <c r="Y226" s="4">
        <v>588.79999999999995</v>
      </c>
      <c r="Z226" s="3">
        <v>58.879999999999995</v>
      </c>
    </row>
    <row r="227" spans="1:26" hidden="1" x14ac:dyDescent="0.35">
      <c r="A227">
        <v>1258</v>
      </c>
      <c r="B227" s="2">
        <v>41891</v>
      </c>
      <c r="C227">
        <v>9</v>
      </c>
      <c r="D227" t="s">
        <v>125</v>
      </c>
      <c r="E227" t="s">
        <v>126</v>
      </c>
      <c r="F227" t="s">
        <v>127</v>
      </c>
      <c r="G227" t="s">
        <v>128</v>
      </c>
      <c r="H227">
        <v>99999</v>
      </c>
      <c r="I227" t="s">
        <v>30</v>
      </c>
      <c r="J227" t="s">
        <v>129</v>
      </c>
      <c r="K227" t="s">
        <v>32</v>
      </c>
      <c r="L227" s="2">
        <v>41893</v>
      </c>
      <c r="M227" t="s">
        <v>46</v>
      </c>
      <c r="N227" t="s">
        <v>130</v>
      </c>
      <c r="O227" t="s">
        <v>126</v>
      </c>
      <c r="P227" t="s">
        <v>127</v>
      </c>
      <c r="Q227" t="s">
        <v>128</v>
      </c>
      <c r="R227">
        <v>99999</v>
      </c>
      <c r="S227" t="s">
        <v>30</v>
      </c>
      <c r="T227" t="s">
        <v>35</v>
      </c>
      <c r="U227" t="s">
        <v>131</v>
      </c>
      <c r="V227" t="s">
        <v>132</v>
      </c>
      <c r="W227" s="3">
        <v>19.5</v>
      </c>
      <c r="X227">
        <v>48</v>
      </c>
      <c r="Y227" s="4">
        <v>936</v>
      </c>
      <c r="Z227" s="3">
        <v>94.536000000000016</v>
      </c>
    </row>
    <row r="228" spans="1:26" hidden="1" x14ac:dyDescent="0.35">
      <c r="A228">
        <v>1259</v>
      </c>
      <c r="B228" s="2">
        <v>41891</v>
      </c>
      <c r="C228">
        <v>9</v>
      </c>
      <c r="D228" t="s">
        <v>125</v>
      </c>
      <c r="E228" t="s">
        <v>126</v>
      </c>
      <c r="F228" t="s">
        <v>127</v>
      </c>
      <c r="G228" t="s">
        <v>128</v>
      </c>
      <c r="H228">
        <v>99999</v>
      </c>
      <c r="I228" t="s">
        <v>30</v>
      </c>
      <c r="J228" t="s">
        <v>129</v>
      </c>
      <c r="K228" t="s">
        <v>32</v>
      </c>
      <c r="L228" s="2">
        <v>41893</v>
      </c>
      <c r="M228" t="s">
        <v>46</v>
      </c>
      <c r="N228" t="s">
        <v>130</v>
      </c>
      <c r="O228" t="s">
        <v>126</v>
      </c>
      <c r="P228" t="s">
        <v>127</v>
      </c>
      <c r="Q228" t="s">
        <v>128</v>
      </c>
      <c r="R228">
        <v>99999</v>
      </c>
      <c r="S228" t="s">
        <v>30</v>
      </c>
      <c r="T228" t="s">
        <v>35</v>
      </c>
      <c r="U228" t="s">
        <v>133</v>
      </c>
      <c r="V228" t="s">
        <v>134</v>
      </c>
      <c r="W228" s="3">
        <v>34.799999999999997</v>
      </c>
      <c r="X228">
        <v>57</v>
      </c>
      <c r="Y228" s="4">
        <v>1983.6</v>
      </c>
      <c r="Z228" s="3">
        <v>194.39280000000002</v>
      </c>
    </row>
    <row r="229" spans="1:26" hidden="1" x14ac:dyDescent="0.35">
      <c r="A229">
        <v>1260</v>
      </c>
      <c r="B229" s="2">
        <v>41888</v>
      </c>
      <c r="C229">
        <v>6</v>
      </c>
      <c r="D229" t="s">
        <v>82</v>
      </c>
      <c r="E229" t="s">
        <v>83</v>
      </c>
      <c r="F229" t="s">
        <v>84</v>
      </c>
      <c r="G229" t="s">
        <v>85</v>
      </c>
      <c r="H229">
        <v>99999</v>
      </c>
      <c r="I229" t="s">
        <v>30</v>
      </c>
      <c r="J229" t="s">
        <v>86</v>
      </c>
      <c r="K229" t="s">
        <v>61</v>
      </c>
      <c r="L229" s="2">
        <v>41890</v>
      </c>
      <c r="M229" t="s">
        <v>33</v>
      </c>
      <c r="N229" t="s">
        <v>87</v>
      </c>
      <c r="O229" t="s">
        <v>83</v>
      </c>
      <c r="P229" t="s">
        <v>84</v>
      </c>
      <c r="Q229" t="s">
        <v>85</v>
      </c>
      <c r="R229">
        <v>99999</v>
      </c>
      <c r="S229" t="s">
        <v>30</v>
      </c>
      <c r="T229" t="s">
        <v>48</v>
      </c>
      <c r="U229" t="s">
        <v>36</v>
      </c>
      <c r="V229" t="s">
        <v>37</v>
      </c>
      <c r="W229" s="3">
        <v>14</v>
      </c>
      <c r="X229">
        <v>67</v>
      </c>
      <c r="Y229" s="4">
        <v>938</v>
      </c>
      <c r="Z229" s="3">
        <v>98.490000000000009</v>
      </c>
    </row>
    <row r="230" spans="1:26" hidden="1" x14ac:dyDescent="0.35">
      <c r="A230">
        <v>1261</v>
      </c>
      <c r="B230" s="2">
        <v>41890</v>
      </c>
      <c r="C230">
        <v>8</v>
      </c>
      <c r="D230" t="s">
        <v>56</v>
      </c>
      <c r="E230" t="s">
        <v>57</v>
      </c>
      <c r="F230" t="s">
        <v>58</v>
      </c>
      <c r="G230" t="s">
        <v>59</v>
      </c>
      <c r="H230">
        <v>99999</v>
      </c>
      <c r="I230" t="s">
        <v>30</v>
      </c>
      <c r="J230" t="s">
        <v>60</v>
      </c>
      <c r="K230" t="s">
        <v>61</v>
      </c>
      <c r="L230">
        <v>41892</v>
      </c>
      <c r="M230" t="s">
        <v>33</v>
      </c>
      <c r="N230" t="s">
        <v>63</v>
      </c>
      <c r="O230" t="s">
        <v>57</v>
      </c>
      <c r="P230" t="s">
        <v>58</v>
      </c>
      <c r="Q230" t="s">
        <v>59</v>
      </c>
      <c r="R230">
        <v>99999</v>
      </c>
      <c r="S230" t="s">
        <v>30</v>
      </c>
      <c r="T230" t="s">
        <v>35</v>
      </c>
      <c r="U230" t="s">
        <v>88</v>
      </c>
      <c r="V230" t="s">
        <v>89</v>
      </c>
      <c r="W230" s="3">
        <v>40</v>
      </c>
      <c r="X230">
        <v>48</v>
      </c>
      <c r="Y230" s="4">
        <v>1920</v>
      </c>
      <c r="Z230" s="3">
        <v>188.16</v>
      </c>
    </row>
    <row r="231" spans="1:26" hidden="1" x14ac:dyDescent="0.35">
      <c r="A231">
        <v>1262</v>
      </c>
      <c r="B231" s="2">
        <v>41890</v>
      </c>
      <c r="C231">
        <v>8</v>
      </c>
      <c r="D231" t="s">
        <v>56</v>
      </c>
      <c r="E231" t="s">
        <v>57</v>
      </c>
      <c r="F231" t="s">
        <v>58</v>
      </c>
      <c r="G231" t="s">
        <v>59</v>
      </c>
      <c r="H231">
        <v>99999</v>
      </c>
      <c r="I231" t="s">
        <v>30</v>
      </c>
      <c r="J231" t="s">
        <v>60</v>
      </c>
      <c r="K231" t="s">
        <v>61</v>
      </c>
      <c r="L231">
        <v>41892</v>
      </c>
      <c r="M231" t="s">
        <v>33</v>
      </c>
      <c r="N231" t="s">
        <v>63</v>
      </c>
      <c r="O231" t="s">
        <v>57</v>
      </c>
      <c r="P231" t="s">
        <v>58</v>
      </c>
      <c r="Q231" t="s">
        <v>59</v>
      </c>
      <c r="R231">
        <v>99999</v>
      </c>
      <c r="S231" t="s">
        <v>30</v>
      </c>
      <c r="T231" t="s">
        <v>35</v>
      </c>
      <c r="U231" t="s">
        <v>64</v>
      </c>
      <c r="V231" t="s">
        <v>65</v>
      </c>
      <c r="W231" s="3">
        <v>9.1999999999999993</v>
      </c>
      <c r="X231">
        <v>77</v>
      </c>
      <c r="Y231" s="4">
        <v>708.4</v>
      </c>
      <c r="Z231" s="3">
        <v>72.256799999999998</v>
      </c>
    </row>
    <row r="232" spans="1:26" hidden="1" x14ac:dyDescent="0.35">
      <c r="A232">
        <v>1263</v>
      </c>
      <c r="B232" s="2">
        <v>41907</v>
      </c>
      <c r="C232">
        <v>25</v>
      </c>
      <c r="D232" t="s">
        <v>137</v>
      </c>
      <c r="E232" t="s">
        <v>138</v>
      </c>
      <c r="F232" t="s">
        <v>99</v>
      </c>
      <c r="G232" t="s">
        <v>100</v>
      </c>
      <c r="H232">
        <v>99999</v>
      </c>
      <c r="I232" t="s">
        <v>30</v>
      </c>
      <c r="J232" t="s">
        <v>101</v>
      </c>
      <c r="K232" t="s">
        <v>45</v>
      </c>
      <c r="L232">
        <v>41909</v>
      </c>
      <c r="M232" t="s">
        <v>46</v>
      </c>
      <c r="N232" t="s">
        <v>139</v>
      </c>
      <c r="O232" t="s">
        <v>138</v>
      </c>
      <c r="P232" t="s">
        <v>99</v>
      </c>
      <c r="Q232" t="s">
        <v>100</v>
      </c>
      <c r="R232">
        <v>99999</v>
      </c>
      <c r="S232" t="s">
        <v>30</v>
      </c>
      <c r="T232" t="s">
        <v>79</v>
      </c>
      <c r="U232" t="s">
        <v>146</v>
      </c>
      <c r="V232" t="s">
        <v>65</v>
      </c>
      <c r="W232" s="3">
        <v>10</v>
      </c>
      <c r="X232">
        <v>94</v>
      </c>
      <c r="Y232" s="4">
        <v>940</v>
      </c>
      <c r="Z232" s="3">
        <v>97.76</v>
      </c>
    </row>
    <row r="233" spans="1:26" hidden="1" x14ac:dyDescent="0.35">
      <c r="A233">
        <v>1264</v>
      </c>
      <c r="B233" s="2">
        <v>41908</v>
      </c>
      <c r="C233">
        <v>26</v>
      </c>
      <c r="D233" t="s">
        <v>140</v>
      </c>
      <c r="E233" t="s">
        <v>141</v>
      </c>
      <c r="F233" t="s">
        <v>115</v>
      </c>
      <c r="G233" t="s">
        <v>116</v>
      </c>
      <c r="H233">
        <v>99999</v>
      </c>
      <c r="I233" t="s">
        <v>30</v>
      </c>
      <c r="J233" t="s">
        <v>94</v>
      </c>
      <c r="K233" t="s">
        <v>95</v>
      </c>
      <c r="L233">
        <v>41910</v>
      </c>
      <c r="M233" t="s">
        <v>62</v>
      </c>
      <c r="N233" t="s">
        <v>142</v>
      </c>
      <c r="O233" t="s">
        <v>141</v>
      </c>
      <c r="P233" t="s">
        <v>115</v>
      </c>
      <c r="Q233" t="s">
        <v>116</v>
      </c>
      <c r="R233">
        <v>99999</v>
      </c>
      <c r="S233" t="s">
        <v>30</v>
      </c>
      <c r="T233" t="s">
        <v>48</v>
      </c>
      <c r="U233" t="s">
        <v>147</v>
      </c>
      <c r="V233" t="s">
        <v>148</v>
      </c>
      <c r="W233" s="3">
        <v>21.35</v>
      </c>
      <c r="X233">
        <v>54</v>
      </c>
      <c r="Y233" s="4">
        <v>1152.9000000000001</v>
      </c>
      <c r="Z233" s="3">
        <v>121.05450000000003</v>
      </c>
    </row>
    <row r="234" spans="1:26" hidden="1" x14ac:dyDescent="0.35">
      <c r="A234">
        <v>1265</v>
      </c>
      <c r="B234" s="2">
        <v>41908</v>
      </c>
      <c r="C234">
        <v>26</v>
      </c>
      <c r="D234" t="s">
        <v>140</v>
      </c>
      <c r="E234" t="s">
        <v>141</v>
      </c>
      <c r="F234" t="s">
        <v>115</v>
      </c>
      <c r="G234" t="s">
        <v>116</v>
      </c>
      <c r="H234">
        <v>99999</v>
      </c>
      <c r="I234" t="s">
        <v>30</v>
      </c>
      <c r="J234" t="s">
        <v>94</v>
      </c>
      <c r="K234" t="s">
        <v>95</v>
      </c>
      <c r="L234">
        <v>41910</v>
      </c>
      <c r="M234" t="s">
        <v>62</v>
      </c>
      <c r="N234" t="s">
        <v>142</v>
      </c>
      <c r="O234" t="s">
        <v>141</v>
      </c>
      <c r="P234" t="s">
        <v>115</v>
      </c>
      <c r="Q234" t="s">
        <v>116</v>
      </c>
      <c r="R234">
        <v>99999</v>
      </c>
      <c r="S234" t="s">
        <v>30</v>
      </c>
      <c r="T234" t="s">
        <v>48</v>
      </c>
      <c r="U234" t="s">
        <v>80</v>
      </c>
      <c r="V234" t="s">
        <v>81</v>
      </c>
      <c r="W234" s="3">
        <v>9.65</v>
      </c>
      <c r="X234">
        <v>43</v>
      </c>
      <c r="Y234" s="4">
        <v>414.95</v>
      </c>
      <c r="Z234" s="3">
        <v>40.250150000000005</v>
      </c>
    </row>
    <row r="235" spans="1:26" hidden="1" x14ac:dyDescent="0.35">
      <c r="A235">
        <v>1266</v>
      </c>
      <c r="B235" s="2">
        <v>41908</v>
      </c>
      <c r="C235">
        <v>26</v>
      </c>
      <c r="D235" t="s">
        <v>140</v>
      </c>
      <c r="E235" t="s">
        <v>141</v>
      </c>
      <c r="F235" t="s">
        <v>115</v>
      </c>
      <c r="G235" t="s">
        <v>116</v>
      </c>
      <c r="H235">
        <v>99999</v>
      </c>
      <c r="I235" t="s">
        <v>30</v>
      </c>
      <c r="J235" t="s">
        <v>94</v>
      </c>
      <c r="K235" t="s">
        <v>95</v>
      </c>
      <c r="L235" s="2">
        <v>41910</v>
      </c>
      <c r="M235" t="s">
        <v>62</v>
      </c>
      <c r="N235" t="s">
        <v>142</v>
      </c>
      <c r="O235" t="s">
        <v>141</v>
      </c>
      <c r="P235" t="s">
        <v>115</v>
      </c>
      <c r="Q235" t="s">
        <v>116</v>
      </c>
      <c r="R235">
        <v>99999</v>
      </c>
      <c r="S235" t="s">
        <v>30</v>
      </c>
      <c r="T235" t="s">
        <v>48</v>
      </c>
      <c r="U235" t="s">
        <v>123</v>
      </c>
      <c r="V235" t="s">
        <v>124</v>
      </c>
      <c r="W235" s="3">
        <v>18.399999999999999</v>
      </c>
      <c r="X235">
        <v>71</v>
      </c>
      <c r="Y235" s="4">
        <v>1306.3999999999999</v>
      </c>
      <c r="Z235" s="3">
        <v>134.55919999999998</v>
      </c>
    </row>
    <row r="236" spans="1:26" hidden="1" x14ac:dyDescent="0.35">
      <c r="A236">
        <v>1267</v>
      </c>
      <c r="B236" s="2">
        <v>41911</v>
      </c>
      <c r="C236">
        <v>29</v>
      </c>
      <c r="D236" t="s">
        <v>66</v>
      </c>
      <c r="E236" t="s">
        <v>67</v>
      </c>
      <c r="F236" t="s">
        <v>68</v>
      </c>
      <c r="G236" t="s">
        <v>69</v>
      </c>
      <c r="H236">
        <v>99999</v>
      </c>
      <c r="I236" t="s">
        <v>30</v>
      </c>
      <c r="J236" t="s">
        <v>70</v>
      </c>
      <c r="K236" t="s">
        <v>32</v>
      </c>
      <c r="L236" s="2">
        <v>41913</v>
      </c>
      <c r="M236" t="s">
        <v>33</v>
      </c>
      <c r="N236" t="s">
        <v>71</v>
      </c>
      <c r="O236" t="s">
        <v>67</v>
      </c>
      <c r="P236" t="s">
        <v>68</v>
      </c>
      <c r="Q236" t="s">
        <v>69</v>
      </c>
      <c r="R236">
        <v>99999</v>
      </c>
      <c r="S236" t="s">
        <v>30</v>
      </c>
      <c r="T236" t="s">
        <v>35</v>
      </c>
      <c r="U236" t="s">
        <v>36</v>
      </c>
      <c r="V236" t="s">
        <v>37</v>
      </c>
      <c r="W236" s="3">
        <v>14</v>
      </c>
      <c r="X236">
        <v>50</v>
      </c>
      <c r="Y236" s="4">
        <v>700</v>
      </c>
      <c r="Z236" s="3">
        <v>67.2</v>
      </c>
    </row>
    <row r="237" spans="1:26" hidden="1" x14ac:dyDescent="0.35">
      <c r="A237">
        <v>1268</v>
      </c>
      <c r="B237" s="2">
        <v>41888</v>
      </c>
      <c r="C237">
        <v>6</v>
      </c>
      <c r="D237" t="s">
        <v>82</v>
      </c>
      <c r="E237" t="s">
        <v>83</v>
      </c>
      <c r="F237" t="s">
        <v>84</v>
      </c>
      <c r="G237" t="s">
        <v>85</v>
      </c>
      <c r="H237">
        <v>99999</v>
      </c>
      <c r="I237" t="s">
        <v>30</v>
      </c>
      <c r="J237" t="s">
        <v>86</v>
      </c>
      <c r="K237" t="s">
        <v>61</v>
      </c>
      <c r="L237" s="2">
        <v>41890</v>
      </c>
      <c r="M237" t="s">
        <v>62</v>
      </c>
      <c r="N237" t="s">
        <v>87</v>
      </c>
      <c r="O237" t="s">
        <v>83</v>
      </c>
      <c r="P237" t="s">
        <v>84</v>
      </c>
      <c r="Q237" t="s">
        <v>85</v>
      </c>
      <c r="R237">
        <v>99999</v>
      </c>
      <c r="S237" t="s">
        <v>30</v>
      </c>
      <c r="T237" t="s">
        <v>35</v>
      </c>
      <c r="U237" t="s">
        <v>72</v>
      </c>
      <c r="V237" t="s">
        <v>73</v>
      </c>
      <c r="W237" s="3">
        <v>12.75</v>
      </c>
      <c r="X237">
        <v>96</v>
      </c>
      <c r="Y237" s="4">
        <v>1224</v>
      </c>
      <c r="Z237" s="3">
        <v>119.952</v>
      </c>
    </row>
    <row r="238" spans="1:26" hidden="1" x14ac:dyDescent="0.35">
      <c r="A238">
        <v>1270</v>
      </c>
      <c r="B238" s="2">
        <v>41886</v>
      </c>
      <c r="C238">
        <v>4</v>
      </c>
      <c r="D238" t="s">
        <v>40</v>
      </c>
      <c r="E238" t="s">
        <v>41</v>
      </c>
      <c r="F238" t="s">
        <v>42</v>
      </c>
      <c r="G238" t="s">
        <v>43</v>
      </c>
      <c r="H238">
        <v>99999</v>
      </c>
      <c r="I238" t="s">
        <v>30</v>
      </c>
      <c r="J238" t="s">
        <v>44</v>
      </c>
      <c r="K238" t="s">
        <v>45</v>
      </c>
      <c r="L238" s="2">
        <v>41888</v>
      </c>
      <c r="M238" t="s">
        <v>46</v>
      </c>
      <c r="N238" t="s">
        <v>47</v>
      </c>
      <c r="O238" t="s">
        <v>41</v>
      </c>
      <c r="P238" t="s">
        <v>42</v>
      </c>
      <c r="Q238" t="s">
        <v>43</v>
      </c>
      <c r="R238">
        <v>99999</v>
      </c>
      <c r="S238" t="s">
        <v>30</v>
      </c>
      <c r="T238" t="s">
        <v>48</v>
      </c>
      <c r="U238" t="s">
        <v>149</v>
      </c>
      <c r="V238" t="s">
        <v>110</v>
      </c>
      <c r="W238" s="3">
        <v>81</v>
      </c>
      <c r="X238">
        <v>54</v>
      </c>
      <c r="Y238" s="4">
        <v>4374</v>
      </c>
      <c r="Z238" s="3">
        <v>437.40000000000003</v>
      </c>
    </row>
    <row r="239" spans="1:26" hidden="1" x14ac:dyDescent="0.35">
      <c r="A239">
        <v>1271</v>
      </c>
      <c r="B239" s="2">
        <v>41886</v>
      </c>
      <c r="C239">
        <v>4</v>
      </c>
      <c r="D239" t="s">
        <v>40</v>
      </c>
      <c r="E239" t="s">
        <v>41</v>
      </c>
      <c r="F239" t="s">
        <v>42</v>
      </c>
      <c r="G239" t="s">
        <v>43</v>
      </c>
      <c r="H239">
        <v>99999</v>
      </c>
      <c r="I239" t="s">
        <v>30</v>
      </c>
      <c r="J239" t="s">
        <v>44</v>
      </c>
      <c r="K239" t="s">
        <v>45</v>
      </c>
      <c r="L239" s="2">
        <v>41888</v>
      </c>
      <c r="M239" t="s">
        <v>46</v>
      </c>
      <c r="N239" t="s">
        <v>47</v>
      </c>
      <c r="O239" t="s">
        <v>41</v>
      </c>
      <c r="P239" t="s">
        <v>42</v>
      </c>
      <c r="Q239" t="s">
        <v>43</v>
      </c>
      <c r="R239">
        <v>99999</v>
      </c>
      <c r="S239" t="s">
        <v>30</v>
      </c>
      <c r="T239" t="s">
        <v>48</v>
      </c>
      <c r="U239" t="s">
        <v>150</v>
      </c>
      <c r="V239" t="s">
        <v>151</v>
      </c>
      <c r="W239" s="3">
        <v>7</v>
      </c>
      <c r="X239">
        <v>39</v>
      </c>
      <c r="Y239" s="4">
        <v>273</v>
      </c>
      <c r="Z239" s="3">
        <v>27.3</v>
      </c>
    </row>
    <row r="240" spans="1:26" hidden="1" x14ac:dyDescent="0.35">
      <c r="A240">
        <v>1273</v>
      </c>
      <c r="B240" s="2">
        <v>41890</v>
      </c>
      <c r="C240">
        <v>8</v>
      </c>
      <c r="D240" t="s">
        <v>56</v>
      </c>
      <c r="E240" t="s">
        <v>57</v>
      </c>
      <c r="F240" t="s">
        <v>58</v>
      </c>
      <c r="G240" t="s">
        <v>59</v>
      </c>
      <c r="H240">
        <v>99999</v>
      </c>
      <c r="I240" t="s">
        <v>30</v>
      </c>
      <c r="J240" t="s">
        <v>60</v>
      </c>
      <c r="K240" t="s">
        <v>61</v>
      </c>
      <c r="L240" s="2">
        <v>41892</v>
      </c>
      <c r="M240" t="s">
        <v>62</v>
      </c>
      <c r="N240" t="s">
        <v>63</v>
      </c>
      <c r="O240" t="s">
        <v>57</v>
      </c>
      <c r="P240" t="s">
        <v>58</v>
      </c>
      <c r="Q240" t="s">
        <v>59</v>
      </c>
      <c r="R240">
        <v>99999</v>
      </c>
      <c r="S240" t="s">
        <v>30</v>
      </c>
      <c r="T240" t="s">
        <v>48</v>
      </c>
      <c r="U240" t="s">
        <v>133</v>
      </c>
      <c r="V240" t="s">
        <v>134</v>
      </c>
      <c r="W240" s="3">
        <v>34.799999999999997</v>
      </c>
      <c r="X240">
        <v>63</v>
      </c>
      <c r="Y240" s="4">
        <v>2192.3999999999996</v>
      </c>
      <c r="Z240" s="3">
        <v>230.202</v>
      </c>
    </row>
    <row r="241" spans="1:26" hidden="1" x14ac:dyDescent="0.35">
      <c r="A241">
        <v>1276</v>
      </c>
      <c r="B241" s="2">
        <v>41885</v>
      </c>
      <c r="C241">
        <v>3</v>
      </c>
      <c r="D241" t="s">
        <v>74</v>
      </c>
      <c r="E241" t="s">
        <v>75</v>
      </c>
      <c r="F241" t="s">
        <v>76</v>
      </c>
      <c r="G241" t="s">
        <v>77</v>
      </c>
      <c r="H241">
        <v>99999</v>
      </c>
      <c r="I241" t="s">
        <v>30</v>
      </c>
      <c r="J241" t="s">
        <v>31</v>
      </c>
      <c r="K241" t="s">
        <v>32</v>
      </c>
      <c r="L241" s="2">
        <v>41887</v>
      </c>
      <c r="M241" t="s">
        <v>33</v>
      </c>
      <c r="N241" t="s">
        <v>78</v>
      </c>
      <c r="O241" t="s">
        <v>75</v>
      </c>
      <c r="P241" t="s">
        <v>76</v>
      </c>
      <c r="Q241" t="s">
        <v>77</v>
      </c>
      <c r="R241">
        <v>99999</v>
      </c>
      <c r="S241" t="s">
        <v>30</v>
      </c>
      <c r="T241" t="s">
        <v>79</v>
      </c>
      <c r="U241" t="s">
        <v>135</v>
      </c>
      <c r="V241" t="s">
        <v>112</v>
      </c>
      <c r="W241" s="3">
        <v>10</v>
      </c>
      <c r="X241">
        <v>71</v>
      </c>
      <c r="Y241" s="4">
        <v>710</v>
      </c>
      <c r="Z241" s="3">
        <v>73.13</v>
      </c>
    </row>
    <row r="242" spans="1:26" hidden="1" x14ac:dyDescent="0.35">
      <c r="A242">
        <v>1277</v>
      </c>
      <c r="B242" s="2">
        <v>41885</v>
      </c>
      <c r="C242">
        <v>3</v>
      </c>
      <c r="D242" t="s">
        <v>74</v>
      </c>
      <c r="E242" t="s">
        <v>75</v>
      </c>
      <c r="F242" t="s">
        <v>76</v>
      </c>
      <c r="G242" t="s">
        <v>77</v>
      </c>
      <c r="H242">
        <v>99999</v>
      </c>
      <c r="I242" t="s">
        <v>30</v>
      </c>
      <c r="J242" t="s">
        <v>31</v>
      </c>
      <c r="K242" t="s">
        <v>32</v>
      </c>
      <c r="L242" s="2">
        <v>41887</v>
      </c>
      <c r="M242" t="s">
        <v>33</v>
      </c>
      <c r="N242" t="s">
        <v>78</v>
      </c>
      <c r="O242" t="s">
        <v>75</v>
      </c>
      <c r="P242" t="s">
        <v>76</v>
      </c>
      <c r="Q242" t="s">
        <v>77</v>
      </c>
      <c r="R242">
        <v>99999</v>
      </c>
      <c r="S242" t="s">
        <v>30</v>
      </c>
      <c r="T242" t="s">
        <v>79</v>
      </c>
      <c r="U242" t="s">
        <v>88</v>
      </c>
      <c r="V242" t="s">
        <v>89</v>
      </c>
      <c r="W242" s="3">
        <v>40</v>
      </c>
      <c r="X242">
        <v>88</v>
      </c>
      <c r="Y242" s="4">
        <v>3520</v>
      </c>
      <c r="Z242" s="3">
        <v>366.08000000000004</v>
      </c>
    </row>
    <row r="243" spans="1:26" hidden="1" x14ac:dyDescent="0.35">
      <c r="A243">
        <v>1281</v>
      </c>
      <c r="B243" s="2">
        <v>41892</v>
      </c>
      <c r="C243">
        <v>10</v>
      </c>
      <c r="D243" t="s">
        <v>97</v>
      </c>
      <c r="E243" t="s">
        <v>98</v>
      </c>
      <c r="F243" t="s">
        <v>99</v>
      </c>
      <c r="G243" t="s">
        <v>100</v>
      </c>
      <c r="H243">
        <v>99999</v>
      </c>
      <c r="I243" t="s">
        <v>30</v>
      </c>
      <c r="J243" t="s">
        <v>101</v>
      </c>
      <c r="K243" t="s">
        <v>45</v>
      </c>
      <c r="L243" s="2">
        <v>41894</v>
      </c>
      <c r="M243" t="s">
        <v>33</v>
      </c>
      <c r="N243" t="s">
        <v>102</v>
      </c>
      <c r="O243" t="s">
        <v>98</v>
      </c>
      <c r="P243" t="s">
        <v>99</v>
      </c>
      <c r="Q243" t="s">
        <v>100</v>
      </c>
      <c r="R243">
        <v>99999</v>
      </c>
      <c r="S243" t="s">
        <v>30</v>
      </c>
      <c r="T243" t="s">
        <v>48</v>
      </c>
      <c r="U243" t="s">
        <v>136</v>
      </c>
      <c r="V243" t="s">
        <v>39</v>
      </c>
      <c r="W243" s="3">
        <v>10</v>
      </c>
      <c r="X243">
        <v>59</v>
      </c>
      <c r="Y243" s="4">
        <v>590</v>
      </c>
      <c r="Z243" s="3">
        <v>59.59</v>
      </c>
    </row>
    <row r="244" spans="1:26" hidden="1" x14ac:dyDescent="0.35">
      <c r="A244">
        <v>1282</v>
      </c>
      <c r="B244" s="2">
        <v>41918</v>
      </c>
      <c r="C244">
        <v>6</v>
      </c>
      <c r="D244" t="s">
        <v>82</v>
      </c>
      <c r="E244" t="s">
        <v>83</v>
      </c>
      <c r="F244" t="s">
        <v>84</v>
      </c>
      <c r="G244" t="s">
        <v>85</v>
      </c>
      <c r="H244">
        <v>99999</v>
      </c>
      <c r="I244" t="s">
        <v>30</v>
      </c>
      <c r="J244" t="s">
        <v>86</v>
      </c>
      <c r="K244" t="s">
        <v>61</v>
      </c>
      <c r="L244" s="2">
        <v>41920</v>
      </c>
      <c r="M244" t="s">
        <v>33</v>
      </c>
      <c r="N244" t="s">
        <v>87</v>
      </c>
      <c r="O244" t="s">
        <v>83</v>
      </c>
      <c r="P244" t="s">
        <v>84</v>
      </c>
      <c r="Q244" t="s">
        <v>85</v>
      </c>
      <c r="R244">
        <v>99999</v>
      </c>
      <c r="S244" t="s">
        <v>30</v>
      </c>
      <c r="T244" t="s">
        <v>48</v>
      </c>
      <c r="U244" t="s">
        <v>88</v>
      </c>
      <c r="V244" t="s">
        <v>89</v>
      </c>
      <c r="W244" s="3">
        <v>40</v>
      </c>
      <c r="X244">
        <v>94</v>
      </c>
      <c r="Y244" s="4">
        <v>3760</v>
      </c>
      <c r="Z244" s="3">
        <v>376</v>
      </c>
    </row>
    <row r="245" spans="1:26" hidden="1" x14ac:dyDescent="0.35">
      <c r="A245">
        <v>1283</v>
      </c>
      <c r="B245" s="2">
        <v>41940</v>
      </c>
      <c r="C245">
        <v>28</v>
      </c>
      <c r="D245" t="s">
        <v>90</v>
      </c>
      <c r="E245" t="s">
        <v>91</v>
      </c>
      <c r="F245" t="s">
        <v>92</v>
      </c>
      <c r="G245" t="s">
        <v>93</v>
      </c>
      <c r="H245">
        <v>99999</v>
      </c>
      <c r="I245" t="s">
        <v>30</v>
      </c>
      <c r="J245" t="s">
        <v>94</v>
      </c>
      <c r="K245" t="s">
        <v>95</v>
      </c>
      <c r="L245" s="2">
        <v>41942</v>
      </c>
      <c r="M245" t="s">
        <v>62</v>
      </c>
      <c r="N245" t="s">
        <v>96</v>
      </c>
      <c r="O245" t="s">
        <v>91</v>
      </c>
      <c r="P245" t="s">
        <v>92</v>
      </c>
      <c r="Q245" t="s">
        <v>93</v>
      </c>
      <c r="R245">
        <v>99999</v>
      </c>
      <c r="S245" t="s">
        <v>30</v>
      </c>
      <c r="T245" t="s">
        <v>35</v>
      </c>
      <c r="U245" t="s">
        <v>55</v>
      </c>
      <c r="V245" t="s">
        <v>37</v>
      </c>
      <c r="W245" s="3">
        <v>46</v>
      </c>
      <c r="X245">
        <v>86</v>
      </c>
      <c r="Y245" s="4">
        <v>3956</v>
      </c>
      <c r="Z245" s="3">
        <v>379.77600000000001</v>
      </c>
    </row>
    <row r="246" spans="1:26" hidden="1" x14ac:dyDescent="0.35">
      <c r="A246">
        <v>1284</v>
      </c>
      <c r="B246" s="2">
        <v>41920</v>
      </c>
      <c r="C246">
        <v>8</v>
      </c>
      <c r="D246" t="s">
        <v>56</v>
      </c>
      <c r="E246" t="s">
        <v>57</v>
      </c>
      <c r="F246" t="s">
        <v>58</v>
      </c>
      <c r="G246" t="s">
        <v>59</v>
      </c>
      <c r="H246">
        <v>99999</v>
      </c>
      <c r="I246" t="s">
        <v>30</v>
      </c>
      <c r="J246" t="s">
        <v>60</v>
      </c>
      <c r="K246" t="s">
        <v>61</v>
      </c>
      <c r="L246" s="2">
        <v>41922</v>
      </c>
      <c r="M246" t="s">
        <v>62</v>
      </c>
      <c r="N246" t="s">
        <v>63</v>
      </c>
      <c r="O246" t="s">
        <v>57</v>
      </c>
      <c r="P246" t="s">
        <v>58</v>
      </c>
      <c r="Q246" t="s">
        <v>59</v>
      </c>
      <c r="R246">
        <v>99999</v>
      </c>
      <c r="S246" t="s">
        <v>30</v>
      </c>
      <c r="T246" t="s">
        <v>35</v>
      </c>
      <c r="U246" t="s">
        <v>72</v>
      </c>
      <c r="V246" t="s">
        <v>73</v>
      </c>
      <c r="W246" s="3">
        <v>12.75</v>
      </c>
      <c r="X246">
        <v>61</v>
      </c>
      <c r="Y246" s="4">
        <v>777.75</v>
      </c>
      <c r="Z246" s="3">
        <v>78.552750000000003</v>
      </c>
    </row>
    <row r="247" spans="1:26" hidden="1" x14ac:dyDescent="0.35">
      <c r="A247">
        <v>1285</v>
      </c>
      <c r="B247" s="2">
        <v>41922</v>
      </c>
      <c r="C247">
        <v>10</v>
      </c>
      <c r="D247" t="s">
        <v>97</v>
      </c>
      <c r="E247" t="s">
        <v>98</v>
      </c>
      <c r="F247" t="s">
        <v>99</v>
      </c>
      <c r="G247" t="s">
        <v>100</v>
      </c>
      <c r="H247">
        <v>99999</v>
      </c>
      <c r="I247" t="s">
        <v>30</v>
      </c>
      <c r="J247" t="s">
        <v>101</v>
      </c>
      <c r="K247" t="s">
        <v>45</v>
      </c>
      <c r="L247" s="2">
        <v>41924</v>
      </c>
      <c r="M247" t="s">
        <v>33</v>
      </c>
      <c r="N247" t="s">
        <v>102</v>
      </c>
      <c r="O247" t="s">
        <v>98</v>
      </c>
      <c r="P247" t="s">
        <v>99</v>
      </c>
      <c r="Q247" t="s">
        <v>100</v>
      </c>
      <c r="R247">
        <v>99999</v>
      </c>
      <c r="S247" t="s">
        <v>30</v>
      </c>
      <c r="T247" t="s">
        <v>48</v>
      </c>
      <c r="U247" t="s">
        <v>103</v>
      </c>
      <c r="V247" t="s">
        <v>37</v>
      </c>
      <c r="W247" s="3">
        <v>2.99</v>
      </c>
      <c r="X247">
        <v>32</v>
      </c>
      <c r="Y247" s="4">
        <v>95.68</v>
      </c>
      <c r="Z247" s="3">
        <v>9.7593600000000009</v>
      </c>
    </row>
    <row r="248" spans="1:26" hidden="1" x14ac:dyDescent="0.35">
      <c r="A248">
        <v>1286</v>
      </c>
      <c r="B248" s="2">
        <v>41919</v>
      </c>
      <c r="C248">
        <v>7</v>
      </c>
      <c r="D248" t="s">
        <v>104</v>
      </c>
      <c r="E248" t="s">
        <v>105</v>
      </c>
      <c r="F248" t="s">
        <v>106</v>
      </c>
      <c r="G248" t="s">
        <v>107</v>
      </c>
      <c r="H248">
        <v>99999</v>
      </c>
      <c r="I248" t="s">
        <v>30</v>
      </c>
      <c r="J248" t="s">
        <v>60</v>
      </c>
      <c r="K248" t="s">
        <v>61</v>
      </c>
      <c r="L248" s="2"/>
      <c r="N248" t="s">
        <v>108</v>
      </c>
      <c r="O248" t="s">
        <v>105</v>
      </c>
      <c r="P248" t="s">
        <v>106</v>
      </c>
      <c r="Q248" t="s">
        <v>107</v>
      </c>
      <c r="R248">
        <v>99999</v>
      </c>
      <c r="S248" t="s">
        <v>30</v>
      </c>
      <c r="U248" t="s">
        <v>55</v>
      </c>
      <c r="V248" t="s">
        <v>37</v>
      </c>
      <c r="W248">
        <v>46</v>
      </c>
      <c r="X248">
        <v>62</v>
      </c>
      <c r="Y248" s="4">
        <v>2852</v>
      </c>
      <c r="Z248" s="3">
        <v>290.904</v>
      </c>
    </row>
    <row r="249" spans="1:26" hidden="1" x14ac:dyDescent="0.35">
      <c r="A249">
        <v>1287</v>
      </c>
      <c r="B249" s="2">
        <v>41922</v>
      </c>
      <c r="C249">
        <v>10</v>
      </c>
      <c r="D249" t="s">
        <v>97</v>
      </c>
      <c r="E249" t="s">
        <v>98</v>
      </c>
      <c r="F249" t="s">
        <v>99</v>
      </c>
      <c r="G249" t="s">
        <v>100</v>
      </c>
      <c r="H249">
        <v>99999</v>
      </c>
      <c r="I249" t="s">
        <v>30</v>
      </c>
      <c r="J249" t="s">
        <v>101</v>
      </c>
      <c r="K249" t="s">
        <v>45</v>
      </c>
      <c r="L249" s="2">
        <v>41924</v>
      </c>
      <c r="M249" t="s">
        <v>46</v>
      </c>
      <c r="N249" t="s">
        <v>102</v>
      </c>
      <c r="O249" t="s">
        <v>98</v>
      </c>
      <c r="P249" t="s">
        <v>99</v>
      </c>
      <c r="Q249" t="s">
        <v>100</v>
      </c>
      <c r="R249">
        <v>99999</v>
      </c>
      <c r="S249" t="s">
        <v>30</v>
      </c>
      <c r="U249" t="s">
        <v>109</v>
      </c>
      <c r="V249" t="s">
        <v>110</v>
      </c>
      <c r="W249">
        <v>25</v>
      </c>
      <c r="X249">
        <v>60</v>
      </c>
      <c r="Y249" s="4">
        <v>1500</v>
      </c>
      <c r="Z249" s="3">
        <v>154.5</v>
      </c>
    </row>
    <row r="250" spans="1:26" hidden="1" x14ac:dyDescent="0.35">
      <c r="A250">
        <v>1288</v>
      </c>
      <c r="B250" s="2">
        <v>41922</v>
      </c>
      <c r="C250">
        <v>10</v>
      </c>
      <c r="D250" t="s">
        <v>97</v>
      </c>
      <c r="E250" t="s">
        <v>98</v>
      </c>
      <c r="F250" t="s">
        <v>99</v>
      </c>
      <c r="G250" t="s">
        <v>100</v>
      </c>
      <c r="H250">
        <v>99999</v>
      </c>
      <c r="I250" t="s">
        <v>30</v>
      </c>
      <c r="J250" t="s">
        <v>101</v>
      </c>
      <c r="K250" t="s">
        <v>45</v>
      </c>
      <c r="L250" s="2">
        <v>41924</v>
      </c>
      <c r="M250" t="s">
        <v>46</v>
      </c>
      <c r="N250" t="s">
        <v>102</v>
      </c>
      <c r="O250" t="s">
        <v>98</v>
      </c>
      <c r="P250" t="s">
        <v>99</v>
      </c>
      <c r="Q250" t="s">
        <v>100</v>
      </c>
      <c r="R250">
        <v>99999</v>
      </c>
      <c r="S250" t="s">
        <v>30</v>
      </c>
      <c r="U250" t="s">
        <v>111</v>
      </c>
      <c r="V250" t="s">
        <v>112</v>
      </c>
      <c r="W250">
        <v>22</v>
      </c>
      <c r="X250">
        <v>51</v>
      </c>
      <c r="Y250" s="4">
        <v>1122</v>
      </c>
      <c r="Z250" s="3">
        <v>109.956</v>
      </c>
    </row>
    <row r="251" spans="1:26" hidden="1" x14ac:dyDescent="0.35">
      <c r="A251">
        <v>1289</v>
      </c>
      <c r="B251" s="2">
        <v>41922</v>
      </c>
      <c r="C251">
        <v>10</v>
      </c>
      <c r="D251" t="s">
        <v>97</v>
      </c>
      <c r="E251" t="s">
        <v>98</v>
      </c>
      <c r="F251" t="s">
        <v>99</v>
      </c>
      <c r="G251" t="s">
        <v>100</v>
      </c>
      <c r="H251">
        <v>99999</v>
      </c>
      <c r="I251" t="s">
        <v>30</v>
      </c>
      <c r="J251" t="s">
        <v>101</v>
      </c>
      <c r="K251" t="s">
        <v>45</v>
      </c>
      <c r="L251" s="2">
        <v>41924</v>
      </c>
      <c r="M251" t="s">
        <v>46</v>
      </c>
      <c r="N251" t="s">
        <v>102</v>
      </c>
      <c r="O251" t="s">
        <v>98</v>
      </c>
      <c r="P251" t="s">
        <v>99</v>
      </c>
      <c r="Q251" t="s">
        <v>100</v>
      </c>
      <c r="R251">
        <v>99999</v>
      </c>
      <c r="S251" t="s">
        <v>30</v>
      </c>
      <c r="U251" t="s">
        <v>64</v>
      </c>
      <c r="V251" t="s">
        <v>65</v>
      </c>
      <c r="W251" s="3">
        <v>9.1999999999999993</v>
      </c>
      <c r="X251">
        <v>49</v>
      </c>
      <c r="Y251" s="4">
        <v>450.79999999999995</v>
      </c>
      <c r="Z251" s="3">
        <v>44.629199999999997</v>
      </c>
    </row>
    <row r="252" spans="1:26" hidden="1" x14ac:dyDescent="0.35">
      <c r="A252">
        <v>1290</v>
      </c>
      <c r="B252" s="2">
        <v>41923</v>
      </c>
      <c r="C252">
        <v>11</v>
      </c>
      <c r="D252" t="s">
        <v>113</v>
      </c>
      <c r="E252" t="s">
        <v>114</v>
      </c>
      <c r="F252" t="s">
        <v>115</v>
      </c>
      <c r="G252" t="s">
        <v>116</v>
      </c>
      <c r="H252">
        <v>99999</v>
      </c>
      <c r="I252" t="s">
        <v>30</v>
      </c>
      <c r="J252" t="s">
        <v>94</v>
      </c>
      <c r="K252" t="s">
        <v>95</v>
      </c>
      <c r="M252" t="s">
        <v>62</v>
      </c>
      <c r="N252" t="s">
        <v>117</v>
      </c>
      <c r="O252" t="s">
        <v>114</v>
      </c>
      <c r="P252" t="s">
        <v>115</v>
      </c>
      <c r="Q252" t="s">
        <v>116</v>
      </c>
      <c r="R252">
        <v>99999</v>
      </c>
      <c r="S252" t="s">
        <v>30</v>
      </c>
      <c r="U252" t="s">
        <v>38</v>
      </c>
      <c r="V252" t="s">
        <v>39</v>
      </c>
      <c r="W252" s="3">
        <v>3.5</v>
      </c>
      <c r="X252">
        <v>20</v>
      </c>
      <c r="Y252" s="4">
        <v>70</v>
      </c>
      <c r="Z252" s="3">
        <v>6.93</v>
      </c>
    </row>
    <row r="253" spans="1:26" hidden="1" x14ac:dyDescent="0.35">
      <c r="A253">
        <v>1291</v>
      </c>
      <c r="B253" s="2">
        <v>41923</v>
      </c>
      <c r="C253">
        <v>11</v>
      </c>
      <c r="D253" t="s">
        <v>113</v>
      </c>
      <c r="E253" t="s">
        <v>114</v>
      </c>
      <c r="F253" t="s">
        <v>115</v>
      </c>
      <c r="G253" t="s">
        <v>116</v>
      </c>
      <c r="H253">
        <v>99999</v>
      </c>
      <c r="I253" t="s">
        <v>30</v>
      </c>
      <c r="J253" t="s">
        <v>94</v>
      </c>
      <c r="K253" t="s">
        <v>95</v>
      </c>
      <c r="M253" t="s">
        <v>62</v>
      </c>
      <c r="N253" t="s">
        <v>117</v>
      </c>
      <c r="O253" t="s">
        <v>114</v>
      </c>
      <c r="P253" t="s">
        <v>115</v>
      </c>
      <c r="Q253" t="s">
        <v>116</v>
      </c>
      <c r="R253">
        <v>99999</v>
      </c>
      <c r="S253" t="s">
        <v>30</v>
      </c>
      <c r="U253" t="s">
        <v>103</v>
      </c>
      <c r="V253" t="s">
        <v>37</v>
      </c>
      <c r="W253" s="3">
        <v>2.99</v>
      </c>
      <c r="X253">
        <v>49</v>
      </c>
      <c r="Y253" s="4">
        <v>146.51000000000002</v>
      </c>
      <c r="Z253" s="3">
        <v>14.651000000000003</v>
      </c>
    </row>
    <row r="254" spans="1:26" hidden="1" x14ac:dyDescent="0.35">
      <c r="A254">
        <v>1292</v>
      </c>
      <c r="B254" s="2">
        <v>41913</v>
      </c>
      <c r="C254">
        <v>1</v>
      </c>
      <c r="D254" t="s">
        <v>118</v>
      </c>
      <c r="E254" t="s">
        <v>119</v>
      </c>
      <c r="F254" t="s">
        <v>120</v>
      </c>
      <c r="G254" t="s">
        <v>121</v>
      </c>
      <c r="H254">
        <v>99999</v>
      </c>
      <c r="I254" t="s">
        <v>30</v>
      </c>
      <c r="J254" t="s">
        <v>60</v>
      </c>
      <c r="K254" t="s">
        <v>61</v>
      </c>
      <c r="N254" t="s">
        <v>122</v>
      </c>
      <c r="O254" t="s">
        <v>119</v>
      </c>
      <c r="P254" t="s">
        <v>120</v>
      </c>
      <c r="Q254" t="s">
        <v>121</v>
      </c>
      <c r="R254">
        <v>99999</v>
      </c>
      <c r="S254" t="s">
        <v>30</v>
      </c>
      <c r="U254" t="s">
        <v>54</v>
      </c>
      <c r="V254" t="s">
        <v>37</v>
      </c>
      <c r="W254" s="3">
        <v>18</v>
      </c>
      <c r="X254">
        <v>22</v>
      </c>
      <c r="Y254" s="4">
        <v>396</v>
      </c>
      <c r="Z254" s="3">
        <v>38.015999999999998</v>
      </c>
    </row>
    <row r="255" spans="1:26" hidden="1" x14ac:dyDescent="0.35">
      <c r="A255">
        <v>1293</v>
      </c>
      <c r="B255" s="2">
        <v>41913</v>
      </c>
      <c r="C255">
        <v>1</v>
      </c>
      <c r="D255" t="s">
        <v>118</v>
      </c>
      <c r="E255" t="s">
        <v>119</v>
      </c>
      <c r="F255" t="s">
        <v>120</v>
      </c>
      <c r="G255" t="s">
        <v>121</v>
      </c>
      <c r="H255">
        <v>99999</v>
      </c>
      <c r="I255" t="s">
        <v>30</v>
      </c>
      <c r="J255" t="s">
        <v>60</v>
      </c>
      <c r="K255" t="s">
        <v>61</v>
      </c>
      <c r="N255" t="s">
        <v>122</v>
      </c>
      <c r="O255" t="s">
        <v>119</v>
      </c>
      <c r="P255" t="s">
        <v>120</v>
      </c>
      <c r="Q255" t="s">
        <v>121</v>
      </c>
      <c r="R255">
        <v>99999</v>
      </c>
      <c r="S255" t="s">
        <v>30</v>
      </c>
      <c r="U255" t="s">
        <v>55</v>
      </c>
      <c r="V255" t="s">
        <v>37</v>
      </c>
      <c r="W255" s="3">
        <v>46</v>
      </c>
      <c r="X255">
        <v>73</v>
      </c>
      <c r="Y255" s="4">
        <v>3358</v>
      </c>
      <c r="Z255" s="3">
        <v>339.15800000000002</v>
      </c>
    </row>
    <row r="256" spans="1:26" hidden="1" x14ac:dyDescent="0.35">
      <c r="A256">
        <v>1294</v>
      </c>
      <c r="B256" s="2">
        <v>41913</v>
      </c>
      <c r="C256">
        <v>1</v>
      </c>
      <c r="D256" t="s">
        <v>118</v>
      </c>
      <c r="E256" t="s">
        <v>119</v>
      </c>
      <c r="F256" t="s">
        <v>120</v>
      </c>
      <c r="G256" t="s">
        <v>121</v>
      </c>
      <c r="H256">
        <v>99999</v>
      </c>
      <c r="I256" t="s">
        <v>30</v>
      </c>
      <c r="J256" t="s">
        <v>60</v>
      </c>
      <c r="K256" t="s">
        <v>61</v>
      </c>
      <c r="N256" t="s">
        <v>122</v>
      </c>
      <c r="O256" t="s">
        <v>119</v>
      </c>
      <c r="P256" t="s">
        <v>120</v>
      </c>
      <c r="Q256" t="s">
        <v>121</v>
      </c>
      <c r="R256">
        <v>99999</v>
      </c>
      <c r="S256" t="s">
        <v>30</v>
      </c>
      <c r="U256" t="s">
        <v>103</v>
      </c>
      <c r="V256" t="s">
        <v>37</v>
      </c>
      <c r="W256" s="3">
        <v>2.99</v>
      </c>
      <c r="X256">
        <v>85</v>
      </c>
      <c r="Y256" s="4">
        <v>254.15</v>
      </c>
      <c r="Z256" s="3">
        <v>24.652550000000002</v>
      </c>
    </row>
    <row r="257" spans="1:26" hidden="1" x14ac:dyDescent="0.35">
      <c r="A257">
        <v>1295</v>
      </c>
      <c r="B257" s="2">
        <v>41940</v>
      </c>
      <c r="C257">
        <v>28</v>
      </c>
      <c r="D257" t="s">
        <v>90</v>
      </c>
      <c r="E257" t="s">
        <v>91</v>
      </c>
      <c r="F257" t="s">
        <v>92</v>
      </c>
      <c r="G257" t="s">
        <v>93</v>
      </c>
      <c r="H257">
        <v>99999</v>
      </c>
      <c r="I257" t="s">
        <v>30</v>
      </c>
      <c r="J257" t="s">
        <v>94</v>
      </c>
      <c r="K257" t="s">
        <v>95</v>
      </c>
      <c r="L257" s="2">
        <v>41942</v>
      </c>
      <c r="M257" t="s">
        <v>62</v>
      </c>
      <c r="N257" t="s">
        <v>96</v>
      </c>
      <c r="O257" t="s">
        <v>91</v>
      </c>
      <c r="P257" t="s">
        <v>92</v>
      </c>
      <c r="Q257" t="s">
        <v>93</v>
      </c>
      <c r="R257">
        <v>99999</v>
      </c>
      <c r="S257" t="s">
        <v>30</v>
      </c>
      <c r="T257" t="s">
        <v>48</v>
      </c>
      <c r="U257" t="s">
        <v>80</v>
      </c>
      <c r="V257" t="s">
        <v>81</v>
      </c>
      <c r="W257" s="3">
        <v>9.65</v>
      </c>
      <c r="X257">
        <v>44</v>
      </c>
      <c r="Y257" s="4">
        <v>424.6</v>
      </c>
      <c r="Z257" s="3">
        <v>44.158400000000007</v>
      </c>
    </row>
    <row r="258" spans="1:26" hidden="1" x14ac:dyDescent="0.35">
      <c r="A258">
        <v>1296</v>
      </c>
      <c r="B258" s="2">
        <v>41940</v>
      </c>
      <c r="C258">
        <v>28</v>
      </c>
      <c r="D258" t="s">
        <v>90</v>
      </c>
      <c r="E258" t="s">
        <v>91</v>
      </c>
      <c r="F258" t="s">
        <v>92</v>
      </c>
      <c r="G258" t="s">
        <v>93</v>
      </c>
      <c r="H258">
        <v>99999</v>
      </c>
      <c r="I258" t="s">
        <v>30</v>
      </c>
      <c r="J258" t="s">
        <v>94</v>
      </c>
      <c r="K258" t="s">
        <v>95</v>
      </c>
      <c r="L258" s="2">
        <v>41942</v>
      </c>
      <c r="M258" t="s">
        <v>62</v>
      </c>
      <c r="N258" t="s">
        <v>96</v>
      </c>
      <c r="O258" t="s">
        <v>91</v>
      </c>
      <c r="P258" t="s">
        <v>92</v>
      </c>
      <c r="Q258" t="s">
        <v>93</v>
      </c>
      <c r="R258">
        <v>99999</v>
      </c>
      <c r="S258" t="s">
        <v>30</v>
      </c>
      <c r="T258" t="s">
        <v>48</v>
      </c>
      <c r="U258" t="s">
        <v>123</v>
      </c>
      <c r="V258" t="s">
        <v>124</v>
      </c>
      <c r="W258" s="3">
        <v>18.399999999999999</v>
      </c>
      <c r="X258">
        <v>24</v>
      </c>
      <c r="Y258" s="4">
        <v>441.59999999999997</v>
      </c>
      <c r="Z258" s="3">
        <v>42.835199999999993</v>
      </c>
    </row>
    <row r="259" spans="1:26" hidden="1" x14ac:dyDescent="0.35">
      <c r="A259">
        <v>1297</v>
      </c>
      <c r="B259" s="2">
        <v>41921</v>
      </c>
      <c r="C259">
        <v>9</v>
      </c>
      <c r="D259" t="s">
        <v>125</v>
      </c>
      <c r="E259" t="s">
        <v>126</v>
      </c>
      <c r="F259" t="s">
        <v>127</v>
      </c>
      <c r="G259" t="s">
        <v>128</v>
      </c>
      <c r="H259">
        <v>99999</v>
      </c>
      <c r="I259" t="s">
        <v>30</v>
      </c>
      <c r="J259" t="s">
        <v>129</v>
      </c>
      <c r="K259" t="s">
        <v>32</v>
      </c>
      <c r="L259" s="2">
        <v>41923</v>
      </c>
      <c r="M259" t="s">
        <v>46</v>
      </c>
      <c r="N259" t="s">
        <v>130</v>
      </c>
      <c r="O259" t="s">
        <v>126</v>
      </c>
      <c r="P259" t="s">
        <v>127</v>
      </c>
      <c r="Q259" t="s">
        <v>128</v>
      </c>
      <c r="R259">
        <v>99999</v>
      </c>
      <c r="S259" t="s">
        <v>30</v>
      </c>
      <c r="T259" t="s">
        <v>35</v>
      </c>
      <c r="U259" t="s">
        <v>131</v>
      </c>
      <c r="V259" t="s">
        <v>132</v>
      </c>
      <c r="W259" s="3">
        <v>19.5</v>
      </c>
      <c r="X259">
        <v>64</v>
      </c>
      <c r="Y259" s="4">
        <v>1248</v>
      </c>
      <c r="Z259" s="3">
        <v>119.80800000000001</v>
      </c>
    </row>
    <row r="260" spans="1:26" hidden="1" x14ac:dyDescent="0.35">
      <c r="A260">
        <v>1298</v>
      </c>
      <c r="B260" s="2">
        <v>41921</v>
      </c>
      <c r="C260">
        <v>9</v>
      </c>
      <c r="D260" t="s">
        <v>125</v>
      </c>
      <c r="E260" t="s">
        <v>126</v>
      </c>
      <c r="F260" t="s">
        <v>127</v>
      </c>
      <c r="G260" t="s">
        <v>128</v>
      </c>
      <c r="H260">
        <v>99999</v>
      </c>
      <c r="I260" t="s">
        <v>30</v>
      </c>
      <c r="J260" t="s">
        <v>129</v>
      </c>
      <c r="K260" t="s">
        <v>32</v>
      </c>
      <c r="L260" s="2">
        <v>41923</v>
      </c>
      <c r="M260" t="s">
        <v>46</v>
      </c>
      <c r="N260" t="s">
        <v>130</v>
      </c>
      <c r="O260" t="s">
        <v>126</v>
      </c>
      <c r="P260" t="s">
        <v>127</v>
      </c>
      <c r="Q260" t="s">
        <v>128</v>
      </c>
      <c r="R260">
        <v>99999</v>
      </c>
      <c r="S260" t="s">
        <v>30</v>
      </c>
      <c r="T260" t="s">
        <v>35</v>
      </c>
      <c r="U260" t="s">
        <v>133</v>
      </c>
      <c r="V260" t="s">
        <v>134</v>
      </c>
      <c r="W260" s="3">
        <v>34.799999999999997</v>
      </c>
      <c r="X260">
        <v>70</v>
      </c>
      <c r="Y260" s="4">
        <v>2436</v>
      </c>
      <c r="Z260" s="3">
        <v>246.03600000000003</v>
      </c>
    </row>
    <row r="261" spans="1:26" hidden="1" x14ac:dyDescent="0.35">
      <c r="A261">
        <v>1299</v>
      </c>
      <c r="B261" s="2">
        <v>41918</v>
      </c>
      <c r="C261">
        <v>6</v>
      </c>
      <c r="D261" t="s">
        <v>82</v>
      </c>
      <c r="E261" t="s">
        <v>83</v>
      </c>
      <c r="F261" t="s">
        <v>84</v>
      </c>
      <c r="G261" t="s">
        <v>85</v>
      </c>
      <c r="H261">
        <v>99999</v>
      </c>
      <c r="I261" t="s">
        <v>30</v>
      </c>
      <c r="J261" t="s">
        <v>86</v>
      </c>
      <c r="K261" t="s">
        <v>61</v>
      </c>
      <c r="L261" s="2">
        <v>41920</v>
      </c>
      <c r="M261" t="s">
        <v>33</v>
      </c>
      <c r="N261" t="s">
        <v>87</v>
      </c>
      <c r="O261" t="s">
        <v>83</v>
      </c>
      <c r="P261" t="s">
        <v>84</v>
      </c>
      <c r="Q261" t="s">
        <v>85</v>
      </c>
      <c r="R261">
        <v>99999</v>
      </c>
      <c r="S261" t="s">
        <v>30</v>
      </c>
      <c r="T261" t="s">
        <v>48</v>
      </c>
      <c r="U261" t="s">
        <v>36</v>
      </c>
      <c r="V261" t="s">
        <v>37</v>
      </c>
      <c r="W261" s="3">
        <v>14</v>
      </c>
      <c r="X261">
        <v>98</v>
      </c>
      <c r="Y261" s="4">
        <v>1372</v>
      </c>
      <c r="Z261" s="3">
        <v>138.57200000000003</v>
      </c>
    </row>
    <row r="262" spans="1:26" hidden="1" x14ac:dyDescent="0.35">
      <c r="A262">
        <v>1300</v>
      </c>
      <c r="B262" s="2">
        <v>41920</v>
      </c>
      <c r="C262">
        <v>8</v>
      </c>
      <c r="D262" t="s">
        <v>56</v>
      </c>
      <c r="E262" t="s">
        <v>57</v>
      </c>
      <c r="F262" t="s">
        <v>58</v>
      </c>
      <c r="G262" t="s">
        <v>59</v>
      </c>
      <c r="H262">
        <v>99999</v>
      </c>
      <c r="I262" t="s">
        <v>30</v>
      </c>
      <c r="J262" t="s">
        <v>60</v>
      </c>
      <c r="K262" t="s">
        <v>61</v>
      </c>
      <c r="L262" s="2">
        <v>41922</v>
      </c>
      <c r="M262" t="s">
        <v>33</v>
      </c>
      <c r="N262" t="s">
        <v>63</v>
      </c>
      <c r="O262" t="s">
        <v>57</v>
      </c>
      <c r="P262" t="s">
        <v>58</v>
      </c>
      <c r="Q262" t="s">
        <v>59</v>
      </c>
      <c r="R262">
        <v>99999</v>
      </c>
      <c r="S262" t="s">
        <v>30</v>
      </c>
      <c r="T262" t="s">
        <v>35</v>
      </c>
      <c r="U262" t="s">
        <v>88</v>
      </c>
      <c r="V262" t="s">
        <v>89</v>
      </c>
      <c r="W262" s="3">
        <v>40</v>
      </c>
      <c r="X262">
        <v>48</v>
      </c>
      <c r="Y262" s="4">
        <v>1920</v>
      </c>
      <c r="Z262" s="3">
        <v>188.16</v>
      </c>
    </row>
    <row r="263" spans="1:26" hidden="1" x14ac:dyDescent="0.35">
      <c r="A263">
        <v>1301</v>
      </c>
      <c r="B263" s="2">
        <v>41920</v>
      </c>
      <c r="C263">
        <v>8</v>
      </c>
      <c r="D263" t="s">
        <v>56</v>
      </c>
      <c r="E263" t="s">
        <v>57</v>
      </c>
      <c r="F263" t="s">
        <v>58</v>
      </c>
      <c r="G263" t="s">
        <v>59</v>
      </c>
      <c r="H263">
        <v>99999</v>
      </c>
      <c r="I263" t="s">
        <v>30</v>
      </c>
      <c r="J263" t="s">
        <v>60</v>
      </c>
      <c r="K263" t="s">
        <v>61</v>
      </c>
      <c r="L263" s="2">
        <v>41922</v>
      </c>
      <c r="M263" t="s">
        <v>33</v>
      </c>
      <c r="N263" t="s">
        <v>63</v>
      </c>
      <c r="O263" t="s">
        <v>57</v>
      </c>
      <c r="P263" t="s">
        <v>58</v>
      </c>
      <c r="Q263" t="s">
        <v>59</v>
      </c>
      <c r="R263">
        <v>99999</v>
      </c>
      <c r="S263" t="s">
        <v>30</v>
      </c>
      <c r="T263" t="s">
        <v>35</v>
      </c>
      <c r="U263" t="s">
        <v>64</v>
      </c>
      <c r="V263" t="s">
        <v>65</v>
      </c>
      <c r="W263" s="3">
        <v>9.1999999999999993</v>
      </c>
      <c r="X263">
        <v>100</v>
      </c>
      <c r="Y263" s="4">
        <v>919.99999999999989</v>
      </c>
      <c r="Z263" s="3">
        <v>91.08</v>
      </c>
    </row>
    <row r="264" spans="1:26" hidden="1" x14ac:dyDescent="0.35">
      <c r="A264">
        <v>1302</v>
      </c>
      <c r="B264" s="2">
        <v>41937</v>
      </c>
      <c r="C264">
        <v>25</v>
      </c>
      <c r="D264" t="s">
        <v>137</v>
      </c>
      <c r="E264" t="s">
        <v>138</v>
      </c>
      <c r="F264" t="s">
        <v>99</v>
      </c>
      <c r="G264" t="s">
        <v>100</v>
      </c>
      <c r="H264">
        <v>99999</v>
      </c>
      <c r="I264" t="s">
        <v>30</v>
      </c>
      <c r="J264" t="s">
        <v>101</v>
      </c>
      <c r="K264" t="s">
        <v>45</v>
      </c>
      <c r="L264" s="2">
        <v>41939</v>
      </c>
      <c r="M264" t="s">
        <v>46</v>
      </c>
      <c r="N264" t="s">
        <v>139</v>
      </c>
      <c r="O264" t="s">
        <v>138</v>
      </c>
      <c r="P264" t="s">
        <v>99</v>
      </c>
      <c r="Q264" t="s">
        <v>100</v>
      </c>
      <c r="R264">
        <v>99999</v>
      </c>
      <c r="S264" t="s">
        <v>30</v>
      </c>
      <c r="T264" t="s">
        <v>79</v>
      </c>
      <c r="U264" t="s">
        <v>146</v>
      </c>
      <c r="V264" t="s">
        <v>65</v>
      </c>
      <c r="W264" s="3">
        <v>10</v>
      </c>
      <c r="X264">
        <v>90</v>
      </c>
      <c r="Y264" s="4">
        <v>900</v>
      </c>
      <c r="Z264" s="3">
        <v>87.3</v>
      </c>
    </row>
    <row r="265" spans="1:26" hidden="1" x14ac:dyDescent="0.35">
      <c r="A265">
        <v>1303</v>
      </c>
      <c r="B265" s="2">
        <v>41938</v>
      </c>
      <c r="C265">
        <v>26</v>
      </c>
      <c r="D265" t="s">
        <v>140</v>
      </c>
      <c r="E265" t="s">
        <v>141</v>
      </c>
      <c r="F265" t="s">
        <v>115</v>
      </c>
      <c r="G265" t="s">
        <v>116</v>
      </c>
      <c r="H265">
        <v>99999</v>
      </c>
      <c r="I265" t="s">
        <v>30</v>
      </c>
      <c r="J265" t="s">
        <v>94</v>
      </c>
      <c r="K265" t="s">
        <v>95</v>
      </c>
      <c r="L265" s="2">
        <v>41940</v>
      </c>
      <c r="M265" t="s">
        <v>62</v>
      </c>
      <c r="N265" t="s">
        <v>142</v>
      </c>
      <c r="O265" t="s">
        <v>141</v>
      </c>
      <c r="P265" t="s">
        <v>115</v>
      </c>
      <c r="Q265" t="s">
        <v>116</v>
      </c>
      <c r="R265">
        <v>99999</v>
      </c>
      <c r="S265" t="s">
        <v>30</v>
      </c>
      <c r="T265" t="s">
        <v>48</v>
      </c>
      <c r="U265" t="s">
        <v>147</v>
      </c>
      <c r="V265" t="s">
        <v>148</v>
      </c>
      <c r="W265" s="3">
        <v>21.35</v>
      </c>
      <c r="X265">
        <v>49</v>
      </c>
      <c r="Y265" s="4">
        <v>1046.1500000000001</v>
      </c>
      <c r="Z265" s="3">
        <v>102.5227</v>
      </c>
    </row>
    <row r="266" spans="1:26" hidden="1" x14ac:dyDescent="0.35">
      <c r="A266">
        <v>1304</v>
      </c>
      <c r="B266" s="2">
        <v>41938</v>
      </c>
      <c r="C266">
        <v>26</v>
      </c>
      <c r="D266" t="s">
        <v>140</v>
      </c>
      <c r="E266" t="s">
        <v>141</v>
      </c>
      <c r="F266" t="s">
        <v>115</v>
      </c>
      <c r="G266" t="s">
        <v>116</v>
      </c>
      <c r="H266">
        <v>99999</v>
      </c>
      <c r="I266" t="s">
        <v>30</v>
      </c>
      <c r="J266" t="s">
        <v>94</v>
      </c>
      <c r="K266" t="s">
        <v>95</v>
      </c>
      <c r="L266" s="2">
        <v>41940</v>
      </c>
      <c r="M266" t="s">
        <v>62</v>
      </c>
      <c r="N266" t="s">
        <v>142</v>
      </c>
      <c r="O266" t="s">
        <v>141</v>
      </c>
      <c r="P266" t="s">
        <v>115</v>
      </c>
      <c r="Q266" t="s">
        <v>116</v>
      </c>
      <c r="R266">
        <v>99999</v>
      </c>
      <c r="S266" t="s">
        <v>30</v>
      </c>
      <c r="T266" t="s">
        <v>48</v>
      </c>
      <c r="U266" t="s">
        <v>80</v>
      </c>
      <c r="V266" t="s">
        <v>81</v>
      </c>
      <c r="W266" s="3">
        <v>9.65</v>
      </c>
      <c r="X266">
        <v>71</v>
      </c>
      <c r="Y266" s="4">
        <v>685.15</v>
      </c>
      <c r="Z266" s="3">
        <v>65.7744</v>
      </c>
    </row>
    <row r="267" spans="1:26" hidden="1" x14ac:dyDescent="0.35">
      <c r="A267">
        <v>1305</v>
      </c>
      <c r="B267" s="2">
        <v>41938</v>
      </c>
      <c r="C267">
        <v>26</v>
      </c>
      <c r="D267" t="s">
        <v>140</v>
      </c>
      <c r="E267" t="s">
        <v>141</v>
      </c>
      <c r="F267" t="s">
        <v>115</v>
      </c>
      <c r="G267" t="s">
        <v>116</v>
      </c>
      <c r="H267">
        <v>99999</v>
      </c>
      <c r="I267" t="s">
        <v>30</v>
      </c>
      <c r="J267" t="s">
        <v>94</v>
      </c>
      <c r="K267" t="s">
        <v>95</v>
      </c>
      <c r="L267" s="2">
        <v>41940</v>
      </c>
      <c r="M267" t="s">
        <v>62</v>
      </c>
      <c r="N267" t="s">
        <v>142</v>
      </c>
      <c r="O267" t="s">
        <v>141</v>
      </c>
      <c r="P267" t="s">
        <v>115</v>
      </c>
      <c r="Q267" t="s">
        <v>116</v>
      </c>
      <c r="R267">
        <v>99999</v>
      </c>
      <c r="S267" t="s">
        <v>30</v>
      </c>
      <c r="T267" t="s">
        <v>48</v>
      </c>
      <c r="U267" t="s">
        <v>123</v>
      </c>
      <c r="V267" t="s">
        <v>124</v>
      </c>
      <c r="W267" s="3">
        <v>18.399999999999999</v>
      </c>
      <c r="X267">
        <v>10</v>
      </c>
      <c r="Y267" s="4">
        <v>184</v>
      </c>
      <c r="Z267" s="3">
        <v>19.136000000000003</v>
      </c>
    </row>
    <row r="268" spans="1:26" hidden="1" x14ac:dyDescent="0.35">
      <c r="A268">
        <v>1306</v>
      </c>
      <c r="B268" s="2">
        <v>41941</v>
      </c>
      <c r="C268">
        <v>29</v>
      </c>
      <c r="D268" t="s">
        <v>66</v>
      </c>
      <c r="E268" t="s">
        <v>67</v>
      </c>
      <c r="F268" t="s">
        <v>68</v>
      </c>
      <c r="G268" t="s">
        <v>69</v>
      </c>
      <c r="H268">
        <v>99999</v>
      </c>
      <c r="I268" t="s">
        <v>30</v>
      </c>
      <c r="J268" t="s">
        <v>70</v>
      </c>
      <c r="K268" t="s">
        <v>32</v>
      </c>
      <c r="L268" s="2">
        <v>41943</v>
      </c>
      <c r="M268" t="s">
        <v>33</v>
      </c>
      <c r="N268" t="s">
        <v>71</v>
      </c>
      <c r="O268" t="s">
        <v>67</v>
      </c>
      <c r="P268" t="s">
        <v>68</v>
      </c>
      <c r="Q268" t="s">
        <v>69</v>
      </c>
      <c r="R268">
        <v>99999</v>
      </c>
      <c r="S268" t="s">
        <v>30</v>
      </c>
      <c r="T268" t="s">
        <v>35</v>
      </c>
      <c r="U268" t="s">
        <v>36</v>
      </c>
      <c r="V268" t="s">
        <v>37</v>
      </c>
      <c r="W268" s="3">
        <v>14</v>
      </c>
      <c r="X268">
        <v>78</v>
      </c>
      <c r="Y268" s="4">
        <v>1092</v>
      </c>
      <c r="Z268" s="3">
        <v>112.476</v>
      </c>
    </row>
    <row r="269" spans="1:26" hidden="1" x14ac:dyDescent="0.35">
      <c r="A269">
        <v>1307</v>
      </c>
      <c r="B269" s="2">
        <v>41918</v>
      </c>
      <c r="C269">
        <v>6</v>
      </c>
      <c r="D269" t="s">
        <v>82</v>
      </c>
      <c r="E269" t="s">
        <v>83</v>
      </c>
      <c r="F269" t="s">
        <v>84</v>
      </c>
      <c r="G269" t="s">
        <v>85</v>
      </c>
      <c r="H269">
        <v>99999</v>
      </c>
      <c r="I269" t="s">
        <v>30</v>
      </c>
      <c r="J269" t="s">
        <v>86</v>
      </c>
      <c r="K269" t="s">
        <v>61</v>
      </c>
      <c r="L269" s="2">
        <v>41920</v>
      </c>
      <c r="M269" t="s">
        <v>62</v>
      </c>
      <c r="N269" t="s">
        <v>87</v>
      </c>
      <c r="O269" t="s">
        <v>83</v>
      </c>
      <c r="P269" t="s">
        <v>84</v>
      </c>
      <c r="Q269" t="s">
        <v>85</v>
      </c>
      <c r="R269">
        <v>99999</v>
      </c>
      <c r="S269" t="s">
        <v>30</v>
      </c>
      <c r="T269" t="s">
        <v>35</v>
      </c>
      <c r="U269" t="s">
        <v>72</v>
      </c>
      <c r="V269" t="s">
        <v>73</v>
      </c>
      <c r="W269" s="3">
        <v>12.75</v>
      </c>
      <c r="X269">
        <v>44</v>
      </c>
      <c r="Y269" s="4">
        <v>561</v>
      </c>
      <c r="Z269" s="3">
        <v>53.856000000000002</v>
      </c>
    </row>
    <row r="270" spans="1:26" hidden="1" x14ac:dyDescent="0.35">
      <c r="A270">
        <v>1309</v>
      </c>
      <c r="B270" s="2">
        <v>41916</v>
      </c>
      <c r="C270">
        <v>4</v>
      </c>
      <c r="D270" t="s">
        <v>40</v>
      </c>
      <c r="E270" t="s">
        <v>41</v>
      </c>
      <c r="F270" t="s">
        <v>42</v>
      </c>
      <c r="G270" t="s">
        <v>43</v>
      </c>
      <c r="H270">
        <v>99999</v>
      </c>
      <c r="I270" t="s">
        <v>30</v>
      </c>
      <c r="J270" t="s">
        <v>44</v>
      </c>
      <c r="K270" t="s">
        <v>45</v>
      </c>
      <c r="L270" s="2">
        <v>41918</v>
      </c>
      <c r="M270" t="s">
        <v>46</v>
      </c>
      <c r="N270" t="s">
        <v>47</v>
      </c>
      <c r="O270" t="s">
        <v>41</v>
      </c>
      <c r="P270" t="s">
        <v>42</v>
      </c>
      <c r="Q270" t="s">
        <v>43</v>
      </c>
      <c r="R270">
        <v>99999</v>
      </c>
      <c r="S270" t="s">
        <v>30</v>
      </c>
      <c r="T270" t="s">
        <v>48</v>
      </c>
      <c r="U270" t="s">
        <v>149</v>
      </c>
      <c r="V270" t="s">
        <v>110</v>
      </c>
      <c r="W270">
        <v>81</v>
      </c>
      <c r="X270">
        <v>82</v>
      </c>
      <c r="Y270" s="4">
        <v>6642</v>
      </c>
      <c r="Z270" s="3">
        <v>697.41000000000008</v>
      </c>
    </row>
    <row r="271" spans="1:26" hidden="1" x14ac:dyDescent="0.35">
      <c r="A271">
        <v>1310</v>
      </c>
      <c r="B271" s="2">
        <v>41916</v>
      </c>
      <c r="C271">
        <v>4</v>
      </c>
      <c r="D271" t="s">
        <v>40</v>
      </c>
      <c r="E271" t="s">
        <v>41</v>
      </c>
      <c r="F271" t="s">
        <v>42</v>
      </c>
      <c r="G271" t="s">
        <v>43</v>
      </c>
      <c r="H271">
        <v>99999</v>
      </c>
      <c r="I271" t="s">
        <v>30</v>
      </c>
      <c r="J271" t="s">
        <v>44</v>
      </c>
      <c r="K271" t="s">
        <v>45</v>
      </c>
      <c r="L271" s="2">
        <v>41918</v>
      </c>
      <c r="M271" t="s">
        <v>46</v>
      </c>
      <c r="N271" t="s">
        <v>47</v>
      </c>
      <c r="O271" t="s">
        <v>41</v>
      </c>
      <c r="P271" t="s">
        <v>42</v>
      </c>
      <c r="Q271" t="s">
        <v>43</v>
      </c>
      <c r="R271">
        <v>99999</v>
      </c>
      <c r="S271" t="s">
        <v>30</v>
      </c>
      <c r="T271" t="s">
        <v>48</v>
      </c>
      <c r="U271" t="s">
        <v>150</v>
      </c>
      <c r="V271" t="s">
        <v>151</v>
      </c>
      <c r="W271">
        <v>7</v>
      </c>
      <c r="X271">
        <v>29</v>
      </c>
      <c r="Y271" s="4">
        <v>203</v>
      </c>
      <c r="Z271" s="3">
        <v>20.3</v>
      </c>
    </row>
    <row r="272" spans="1:26" hidden="1" x14ac:dyDescent="0.35">
      <c r="A272">
        <v>1312</v>
      </c>
      <c r="B272" s="2">
        <v>41920</v>
      </c>
      <c r="C272">
        <v>8</v>
      </c>
      <c r="D272" t="s">
        <v>56</v>
      </c>
      <c r="E272" t="s">
        <v>57</v>
      </c>
      <c r="F272" t="s">
        <v>58</v>
      </c>
      <c r="G272" t="s">
        <v>59</v>
      </c>
      <c r="H272">
        <v>99999</v>
      </c>
      <c r="I272" t="s">
        <v>30</v>
      </c>
      <c r="J272" t="s">
        <v>60</v>
      </c>
      <c r="K272" t="s">
        <v>61</v>
      </c>
      <c r="L272" s="2">
        <v>41922</v>
      </c>
      <c r="M272" t="s">
        <v>62</v>
      </c>
      <c r="N272" t="s">
        <v>63</v>
      </c>
      <c r="O272" t="s">
        <v>57</v>
      </c>
      <c r="P272" t="s">
        <v>58</v>
      </c>
      <c r="Q272" t="s">
        <v>59</v>
      </c>
      <c r="R272">
        <v>99999</v>
      </c>
      <c r="S272" t="s">
        <v>30</v>
      </c>
      <c r="T272" t="s">
        <v>48</v>
      </c>
      <c r="U272" t="s">
        <v>133</v>
      </c>
      <c r="V272" t="s">
        <v>134</v>
      </c>
      <c r="W272">
        <v>34.799999999999997</v>
      </c>
      <c r="X272">
        <v>93</v>
      </c>
      <c r="Y272" s="4">
        <v>3236.3999999999996</v>
      </c>
      <c r="Z272" s="3">
        <v>313.93079999999998</v>
      </c>
    </row>
    <row r="273" spans="1:26" hidden="1" x14ac:dyDescent="0.35">
      <c r="A273">
        <v>1315</v>
      </c>
      <c r="B273" s="2">
        <v>41915</v>
      </c>
      <c r="C273">
        <v>3</v>
      </c>
      <c r="D273" t="s">
        <v>74</v>
      </c>
      <c r="E273" t="s">
        <v>75</v>
      </c>
      <c r="F273" t="s">
        <v>76</v>
      </c>
      <c r="G273" t="s">
        <v>77</v>
      </c>
      <c r="H273">
        <v>99999</v>
      </c>
      <c r="I273" t="s">
        <v>30</v>
      </c>
      <c r="J273" t="s">
        <v>31</v>
      </c>
      <c r="K273" t="s">
        <v>32</v>
      </c>
      <c r="L273" s="2">
        <v>41917</v>
      </c>
      <c r="M273" t="s">
        <v>33</v>
      </c>
      <c r="N273" t="s">
        <v>78</v>
      </c>
      <c r="O273" t="s">
        <v>75</v>
      </c>
      <c r="P273" t="s">
        <v>76</v>
      </c>
      <c r="Q273" t="s">
        <v>77</v>
      </c>
      <c r="R273">
        <v>99999</v>
      </c>
      <c r="S273" t="s">
        <v>30</v>
      </c>
      <c r="T273" t="s">
        <v>79</v>
      </c>
      <c r="U273" t="s">
        <v>135</v>
      </c>
      <c r="V273" t="s">
        <v>112</v>
      </c>
      <c r="W273">
        <v>10</v>
      </c>
      <c r="X273">
        <v>11</v>
      </c>
      <c r="Y273" s="4">
        <v>110</v>
      </c>
      <c r="Z273" s="3">
        <v>11.440000000000001</v>
      </c>
    </row>
    <row r="274" spans="1:26" hidden="1" x14ac:dyDescent="0.35">
      <c r="A274">
        <v>1316</v>
      </c>
      <c r="B274" s="2">
        <v>41915</v>
      </c>
      <c r="C274">
        <v>3</v>
      </c>
      <c r="D274" t="s">
        <v>74</v>
      </c>
      <c r="E274" t="s">
        <v>75</v>
      </c>
      <c r="F274" t="s">
        <v>76</v>
      </c>
      <c r="G274" t="s">
        <v>77</v>
      </c>
      <c r="H274">
        <v>99999</v>
      </c>
      <c r="I274" t="s">
        <v>30</v>
      </c>
      <c r="J274" t="s">
        <v>31</v>
      </c>
      <c r="K274" t="s">
        <v>32</v>
      </c>
      <c r="L274" s="2">
        <v>41917</v>
      </c>
      <c r="M274" t="s">
        <v>33</v>
      </c>
      <c r="N274" t="s">
        <v>78</v>
      </c>
      <c r="O274" t="s">
        <v>75</v>
      </c>
      <c r="P274" t="s">
        <v>76</v>
      </c>
      <c r="Q274" t="s">
        <v>77</v>
      </c>
      <c r="R274">
        <v>99999</v>
      </c>
      <c r="S274" t="s">
        <v>30</v>
      </c>
      <c r="T274" t="s">
        <v>79</v>
      </c>
      <c r="U274" t="s">
        <v>88</v>
      </c>
      <c r="V274" t="s">
        <v>89</v>
      </c>
      <c r="W274">
        <v>40</v>
      </c>
      <c r="X274">
        <v>91</v>
      </c>
      <c r="Y274" s="4">
        <v>3640</v>
      </c>
      <c r="Z274" s="3">
        <v>364</v>
      </c>
    </row>
    <row r="275" spans="1:26" hidden="1" x14ac:dyDescent="0.35">
      <c r="A275">
        <v>1320</v>
      </c>
      <c r="B275" s="2">
        <v>41922</v>
      </c>
      <c r="C275">
        <v>10</v>
      </c>
      <c r="D275" t="s">
        <v>97</v>
      </c>
      <c r="E275" t="s">
        <v>98</v>
      </c>
      <c r="F275" t="s">
        <v>99</v>
      </c>
      <c r="G275" t="s">
        <v>100</v>
      </c>
      <c r="H275">
        <v>99999</v>
      </c>
      <c r="I275" t="s">
        <v>30</v>
      </c>
      <c r="J275" t="s">
        <v>101</v>
      </c>
      <c r="K275" t="s">
        <v>45</v>
      </c>
      <c r="L275" s="2">
        <v>41924</v>
      </c>
      <c r="M275" t="s">
        <v>33</v>
      </c>
      <c r="N275" t="s">
        <v>102</v>
      </c>
      <c r="O275" t="s">
        <v>98</v>
      </c>
      <c r="P275" t="s">
        <v>99</v>
      </c>
      <c r="Q275" t="s">
        <v>100</v>
      </c>
      <c r="R275">
        <v>99999</v>
      </c>
      <c r="S275" t="s">
        <v>30</v>
      </c>
      <c r="T275" t="s">
        <v>48</v>
      </c>
      <c r="U275" t="s">
        <v>136</v>
      </c>
      <c r="V275" t="s">
        <v>39</v>
      </c>
      <c r="W275">
        <v>10</v>
      </c>
      <c r="X275">
        <v>12</v>
      </c>
      <c r="Y275" s="4">
        <v>120</v>
      </c>
      <c r="Z275" s="3">
        <v>12.36</v>
      </c>
    </row>
    <row r="276" spans="1:26" hidden="1" x14ac:dyDescent="0.35">
      <c r="A276">
        <v>1322</v>
      </c>
      <c r="B276" s="2">
        <v>41922</v>
      </c>
      <c r="C276">
        <v>10</v>
      </c>
      <c r="D276" t="s">
        <v>97</v>
      </c>
      <c r="E276" t="s">
        <v>98</v>
      </c>
      <c r="F276" t="s">
        <v>99</v>
      </c>
      <c r="G276" t="s">
        <v>100</v>
      </c>
      <c r="H276">
        <v>99999</v>
      </c>
      <c r="I276" t="s">
        <v>30</v>
      </c>
      <c r="J276" t="s">
        <v>101</v>
      </c>
      <c r="K276" t="s">
        <v>45</v>
      </c>
      <c r="L276" s="2"/>
      <c r="M276" t="s">
        <v>46</v>
      </c>
      <c r="N276" t="s">
        <v>102</v>
      </c>
      <c r="O276" t="s">
        <v>98</v>
      </c>
      <c r="P276" t="s">
        <v>99</v>
      </c>
      <c r="Q276" t="s">
        <v>100</v>
      </c>
      <c r="R276">
        <v>99999</v>
      </c>
      <c r="S276" t="s">
        <v>30</v>
      </c>
      <c r="U276" t="s">
        <v>38</v>
      </c>
      <c r="V276" t="s">
        <v>39</v>
      </c>
      <c r="W276">
        <v>3.5</v>
      </c>
      <c r="X276">
        <v>78</v>
      </c>
      <c r="Y276" s="4">
        <v>273</v>
      </c>
      <c r="Z276" s="3">
        <v>27.3</v>
      </c>
    </row>
    <row r="277" spans="1:26" hidden="1" x14ac:dyDescent="0.35">
      <c r="A277">
        <v>1323</v>
      </c>
      <c r="B277" s="2">
        <v>41923</v>
      </c>
      <c r="C277">
        <v>11</v>
      </c>
      <c r="D277" t="s">
        <v>113</v>
      </c>
      <c r="E277" t="s">
        <v>114</v>
      </c>
      <c r="F277" t="s">
        <v>115</v>
      </c>
      <c r="G277" t="s">
        <v>116</v>
      </c>
      <c r="H277">
        <v>99999</v>
      </c>
      <c r="I277" t="s">
        <v>30</v>
      </c>
      <c r="J277" t="s">
        <v>94</v>
      </c>
      <c r="K277" t="s">
        <v>95</v>
      </c>
      <c r="L277" s="2"/>
      <c r="M277" t="s">
        <v>62</v>
      </c>
      <c r="N277" t="s">
        <v>117</v>
      </c>
      <c r="O277" t="s">
        <v>114</v>
      </c>
      <c r="P277" t="s">
        <v>115</v>
      </c>
      <c r="Q277" t="s">
        <v>116</v>
      </c>
      <c r="R277">
        <v>99999</v>
      </c>
      <c r="S277" t="s">
        <v>30</v>
      </c>
      <c r="U277" t="s">
        <v>88</v>
      </c>
      <c r="V277" t="s">
        <v>89</v>
      </c>
      <c r="W277">
        <v>40</v>
      </c>
      <c r="X277">
        <v>60</v>
      </c>
      <c r="Y277" s="4">
        <v>2400</v>
      </c>
      <c r="Z277" s="3">
        <v>228</v>
      </c>
    </row>
    <row r="278" spans="1:26" hidden="1" x14ac:dyDescent="0.35">
      <c r="A278">
        <v>1324</v>
      </c>
      <c r="B278" s="2">
        <v>41913</v>
      </c>
      <c r="C278">
        <v>1</v>
      </c>
      <c r="D278" t="s">
        <v>118</v>
      </c>
      <c r="E278" t="s">
        <v>119</v>
      </c>
      <c r="F278" t="s">
        <v>120</v>
      </c>
      <c r="G278" t="s">
        <v>121</v>
      </c>
      <c r="H278">
        <v>99999</v>
      </c>
      <c r="I278" t="s">
        <v>30</v>
      </c>
      <c r="J278" t="s">
        <v>60</v>
      </c>
      <c r="K278" t="s">
        <v>61</v>
      </c>
      <c r="L278" s="2"/>
      <c r="M278" t="s">
        <v>62</v>
      </c>
      <c r="N278" t="s">
        <v>122</v>
      </c>
      <c r="O278" t="s">
        <v>119</v>
      </c>
      <c r="P278" t="s">
        <v>120</v>
      </c>
      <c r="Q278" t="s">
        <v>121</v>
      </c>
      <c r="R278">
        <v>99999</v>
      </c>
      <c r="S278" t="s">
        <v>30</v>
      </c>
      <c r="U278" t="s">
        <v>123</v>
      </c>
      <c r="V278" t="s">
        <v>124</v>
      </c>
      <c r="W278">
        <v>18.399999999999999</v>
      </c>
      <c r="X278">
        <v>23</v>
      </c>
      <c r="Y278" s="4">
        <v>423.2</v>
      </c>
      <c r="Z278" s="3">
        <v>43.589600000000004</v>
      </c>
    </row>
    <row r="279" spans="1:26" hidden="1" x14ac:dyDescent="0.35">
      <c r="A279">
        <v>1325</v>
      </c>
      <c r="B279" s="2">
        <v>41940</v>
      </c>
      <c r="C279">
        <v>28</v>
      </c>
      <c r="D279" t="s">
        <v>90</v>
      </c>
      <c r="E279" t="s">
        <v>91</v>
      </c>
      <c r="F279" t="s">
        <v>92</v>
      </c>
      <c r="G279" t="s">
        <v>93</v>
      </c>
      <c r="H279">
        <v>99999</v>
      </c>
      <c r="I279" t="s">
        <v>30</v>
      </c>
      <c r="J279" t="s">
        <v>94</v>
      </c>
      <c r="K279" t="s">
        <v>95</v>
      </c>
      <c r="L279" s="2">
        <v>41942</v>
      </c>
      <c r="M279" t="s">
        <v>62</v>
      </c>
      <c r="N279" t="s">
        <v>96</v>
      </c>
      <c r="O279" t="s">
        <v>91</v>
      </c>
      <c r="P279" t="s">
        <v>92</v>
      </c>
      <c r="Q279" t="s">
        <v>93</v>
      </c>
      <c r="R279">
        <v>99999</v>
      </c>
      <c r="S279" t="s">
        <v>30</v>
      </c>
      <c r="T279" t="s">
        <v>48</v>
      </c>
      <c r="U279" t="s">
        <v>55</v>
      </c>
      <c r="V279" t="s">
        <v>37</v>
      </c>
      <c r="W279">
        <v>46</v>
      </c>
      <c r="X279">
        <v>34</v>
      </c>
      <c r="Y279" s="4">
        <v>1564</v>
      </c>
      <c r="Z279" s="3">
        <v>157.964</v>
      </c>
    </row>
    <row r="280" spans="1:26" hidden="1" x14ac:dyDescent="0.35">
      <c r="A280">
        <v>1326</v>
      </c>
      <c r="B280" s="2">
        <v>41921</v>
      </c>
      <c r="C280">
        <v>9</v>
      </c>
      <c r="D280" t="s">
        <v>125</v>
      </c>
      <c r="E280" t="s">
        <v>126</v>
      </c>
      <c r="F280" t="s">
        <v>127</v>
      </c>
      <c r="G280" t="s">
        <v>128</v>
      </c>
      <c r="H280">
        <v>99999</v>
      </c>
      <c r="I280" t="s">
        <v>30</v>
      </c>
      <c r="J280" t="s">
        <v>129</v>
      </c>
      <c r="K280" t="s">
        <v>32</v>
      </c>
      <c r="L280" s="2">
        <v>41923</v>
      </c>
      <c r="M280" t="s">
        <v>46</v>
      </c>
      <c r="N280" t="s">
        <v>130</v>
      </c>
      <c r="O280" t="s">
        <v>126</v>
      </c>
      <c r="P280" t="s">
        <v>127</v>
      </c>
      <c r="Q280" t="s">
        <v>128</v>
      </c>
      <c r="R280">
        <v>99999</v>
      </c>
      <c r="S280" t="s">
        <v>30</v>
      </c>
      <c r="T280" t="s">
        <v>35</v>
      </c>
      <c r="U280" t="s">
        <v>80</v>
      </c>
      <c r="V280" t="s">
        <v>81</v>
      </c>
      <c r="W280">
        <v>9.65</v>
      </c>
      <c r="X280">
        <v>89</v>
      </c>
      <c r="Y280" s="4">
        <v>858.85</v>
      </c>
      <c r="Z280" s="3">
        <v>86.743850000000009</v>
      </c>
    </row>
    <row r="281" spans="1:26" hidden="1" x14ac:dyDescent="0.35">
      <c r="A281">
        <v>1327</v>
      </c>
      <c r="B281" s="2">
        <v>41918</v>
      </c>
      <c r="C281">
        <v>6</v>
      </c>
      <c r="D281" t="s">
        <v>82</v>
      </c>
      <c r="E281" t="s">
        <v>83</v>
      </c>
      <c r="F281" t="s">
        <v>84</v>
      </c>
      <c r="G281" t="s">
        <v>85</v>
      </c>
      <c r="H281">
        <v>99999</v>
      </c>
      <c r="I281" t="s">
        <v>30</v>
      </c>
      <c r="J281" t="s">
        <v>86</v>
      </c>
      <c r="K281" t="s">
        <v>61</v>
      </c>
      <c r="L281" s="2">
        <v>41920</v>
      </c>
      <c r="M281" t="s">
        <v>33</v>
      </c>
      <c r="N281" t="s">
        <v>87</v>
      </c>
      <c r="O281" t="s">
        <v>83</v>
      </c>
      <c r="P281" t="s">
        <v>84</v>
      </c>
      <c r="Q281" t="s">
        <v>85</v>
      </c>
      <c r="R281">
        <v>99999</v>
      </c>
      <c r="S281" t="s">
        <v>30</v>
      </c>
      <c r="T281" t="s">
        <v>48</v>
      </c>
      <c r="U281" t="s">
        <v>72</v>
      </c>
      <c r="V281" t="s">
        <v>73</v>
      </c>
      <c r="W281">
        <v>12.75</v>
      </c>
      <c r="X281">
        <v>82</v>
      </c>
      <c r="Y281" s="4">
        <v>1045.5</v>
      </c>
      <c r="Z281" s="3">
        <v>103.50450000000001</v>
      </c>
    </row>
    <row r="282" spans="1:26" hidden="1" x14ac:dyDescent="0.35">
      <c r="A282">
        <v>1328</v>
      </c>
      <c r="B282" s="2">
        <v>41920</v>
      </c>
      <c r="C282">
        <v>8</v>
      </c>
      <c r="D282" t="s">
        <v>56</v>
      </c>
      <c r="E282" t="s">
        <v>57</v>
      </c>
      <c r="F282" t="s">
        <v>58</v>
      </c>
      <c r="G282" t="s">
        <v>59</v>
      </c>
      <c r="H282">
        <v>99999</v>
      </c>
      <c r="I282" t="s">
        <v>30</v>
      </c>
      <c r="J282" t="s">
        <v>60</v>
      </c>
      <c r="K282" t="s">
        <v>61</v>
      </c>
      <c r="L282" s="2">
        <v>41922</v>
      </c>
      <c r="M282" t="s">
        <v>33</v>
      </c>
      <c r="N282" t="s">
        <v>63</v>
      </c>
      <c r="O282" t="s">
        <v>57</v>
      </c>
      <c r="P282" t="s">
        <v>58</v>
      </c>
      <c r="Q282" t="s">
        <v>59</v>
      </c>
      <c r="R282">
        <v>99999</v>
      </c>
      <c r="S282" t="s">
        <v>30</v>
      </c>
      <c r="T282" t="s">
        <v>35</v>
      </c>
      <c r="U282" t="s">
        <v>72</v>
      </c>
      <c r="V282" t="s">
        <v>73</v>
      </c>
      <c r="W282">
        <v>12.75</v>
      </c>
      <c r="X282">
        <v>43</v>
      </c>
      <c r="Y282" s="4">
        <v>548.25</v>
      </c>
      <c r="Z282" s="3">
        <v>52.631999999999998</v>
      </c>
    </row>
    <row r="283" spans="1:26" hidden="1" x14ac:dyDescent="0.35">
      <c r="A283">
        <v>1329</v>
      </c>
      <c r="B283" s="2">
        <v>41953</v>
      </c>
      <c r="C283">
        <v>10</v>
      </c>
      <c r="D283" t="s">
        <v>97</v>
      </c>
      <c r="E283" t="s">
        <v>98</v>
      </c>
      <c r="F283" t="s">
        <v>99</v>
      </c>
      <c r="G283" t="s">
        <v>100</v>
      </c>
      <c r="H283">
        <v>99999</v>
      </c>
      <c r="I283" t="s">
        <v>30</v>
      </c>
      <c r="J283" t="s">
        <v>101</v>
      </c>
      <c r="K283" t="s">
        <v>45</v>
      </c>
      <c r="L283" s="2">
        <v>41955</v>
      </c>
      <c r="M283" t="s">
        <v>46</v>
      </c>
      <c r="N283" t="s">
        <v>102</v>
      </c>
      <c r="O283" t="s">
        <v>98</v>
      </c>
      <c r="P283" t="s">
        <v>99</v>
      </c>
      <c r="Q283" t="s">
        <v>100</v>
      </c>
      <c r="R283">
        <v>99999</v>
      </c>
      <c r="S283" t="s">
        <v>30</v>
      </c>
      <c r="U283" t="s">
        <v>111</v>
      </c>
      <c r="V283" t="s">
        <v>112</v>
      </c>
      <c r="W283" s="3">
        <v>22</v>
      </c>
      <c r="X283">
        <v>96</v>
      </c>
      <c r="Y283" s="4">
        <v>2112</v>
      </c>
      <c r="Z283" s="3">
        <v>221.76000000000002</v>
      </c>
    </row>
    <row r="284" spans="1:26" hidden="1" x14ac:dyDescent="0.35">
      <c r="A284">
        <v>1330</v>
      </c>
      <c r="B284" s="2">
        <v>41953</v>
      </c>
      <c r="C284">
        <v>10</v>
      </c>
      <c r="D284" t="s">
        <v>97</v>
      </c>
      <c r="E284" t="s">
        <v>98</v>
      </c>
      <c r="F284" t="s">
        <v>99</v>
      </c>
      <c r="G284" t="s">
        <v>100</v>
      </c>
      <c r="H284">
        <v>99999</v>
      </c>
      <c r="I284" t="s">
        <v>30</v>
      </c>
      <c r="J284" t="s">
        <v>101</v>
      </c>
      <c r="K284" t="s">
        <v>45</v>
      </c>
      <c r="L284" s="2">
        <v>41955</v>
      </c>
      <c r="M284" t="s">
        <v>46</v>
      </c>
      <c r="N284" t="s">
        <v>102</v>
      </c>
      <c r="O284" t="s">
        <v>98</v>
      </c>
      <c r="P284" t="s">
        <v>99</v>
      </c>
      <c r="Q284" t="s">
        <v>100</v>
      </c>
      <c r="R284">
        <v>99999</v>
      </c>
      <c r="S284" t="s">
        <v>30</v>
      </c>
      <c r="U284" t="s">
        <v>64</v>
      </c>
      <c r="V284" t="s">
        <v>65</v>
      </c>
      <c r="W284" s="3">
        <v>9.1999999999999993</v>
      </c>
      <c r="X284">
        <v>34</v>
      </c>
      <c r="Y284" s="4">
        <v>312.79999999999995</v>
      </c>
      <c r="Z284" s="3">
        <v>31.279999999999998</v>
      </c>
    </row>
    <row r="285" spans="1:26" hidden="1" x14ac:dyDescent="0.35">
      <c r="A285">
        <v>1331</v>
      </c>
      <c r="B285" s="2">
        <v>41954</v>
      </c>
      <c r="C285">
        <v>11</v>
      </c>
      <c r="D285" t="s">
        <v>113</v>
      </c>
      <c r="E285" t="s">
        <v>114</v>
      </c>
      <c r="F285" t="s">
        <v>115</v>
      </c>
      <c r="G285" t="s">
        <v>116</v>
      </c>
      <c r="H285">
        <v>99999</v>
      </c>
      <c r="I285" t="s">
        <v>30</v>
      </c>
      <c r="J285" t="s">
        <v>94</v>
      </c>
      <c r="K285" t="s">
        <v>95</v>
      </c>
      <c r="L285" s="2"/>
      <c r="M285" t="s">
        <v>62</v>
      </c>
      <c r="N285" t="s">
        <v>117</v>
      </c>
      <c r="O285" t="s">
        <v>114</v>
      </c>
      <c r="P285" t="s">
        <v>115</v>
      </c>
      <c r="Q285" t="s">
        <v>116</v>
      </c>
      <c r="R285">
        <v>99999</v>
      </c>
      <c r="S285" t="s">
        <v>30</v>
      </c>
      <c r="U285" t="s">
        <v>38</v>
      </c>
      <c r="V285" t="s">
        <v>39</v>
      </c>
      <c r="W285" s="3">
        <v>3.5</v>
      </c>
      <c r="X285">
        <v>42</v>
      </c>
      <c r="Y285" s="4">
        <v>147</v>
      </c>
      <c r="Z285" s="3">
        <v>15.141000000000002</v>
      </c>
    </row>
    <row r="286" spans="1:26" hidden="1" x14ac:dyDescent="0.35">
      <c r="A286">
        <v>1332</v>
      </c>
      <c r="B286" s="2">
        <v>41954</v>
      </c>
      <c r="C286">
        <v>11</v>
      </c>
      <c r="D286" t="s">
        <v>113</v>
      </c>
      <c r="E286" t="s">
        <v>114</v>
      </c>
      <c r="F286" t="s">
        <v>115</v>
      </c>
      <c r="G286" t="s">
        <v>116</v>
      </c>
      <c r="H286">
        <v>99999</v>
      </c>
      <c r="I286" t="s">
        <v>30</v>
      </c>
      <c r="J286" t="s">
        <v>94</v>
      </c>
      <c r="K286" t="s">
        <v>95</v>
      </c>
      <c r="L286" s="2"/>
      <c r="M286" t="s">
        <v>62</v>
      </c>
      <c r="N286" t="s">
        <v>117</v>
      </c>
      <c r="O286" t="s">
        <v>114</v>
      </c>
      <c r="P286" t="s">
        <v>115</v>
      </c>
      <c r="Q286" t="s">
        <v>116</v>
      </c>
      <c r="R286">
        <v>99999</v>
      </c>
      <c r="S286" t="s">
        <v>30</v>
      </c>
      <c r="U286" t="s">
        <v>103</v>
      </c>
      <c r="V286" t="s">
        <v>37</v>
      </c>
      <c r="W286" s="3">
        <v>2.99</v>
      </c>
      <c r="X286">
        <v>100</v>
      </c>
      <c r="Y286" s="4">
        <v>299</v>
      </c>
      <c r="Z286" s="3">
        <v>30.498000000000001</v>
      </c>
    </row>
    <row r="287" spans="1:26" hidden="1" x14ac:dyDescent="0.35">
      <c r="A287">
        <v>1333</v>
      </c>
      <c r="B287" s="2">
        <v>41944</v>
      </c>
      <c r="C287">
        <v>1</v>
      </c>
      <c r="D287" t="s">
        <v>118</v>
      </c>
      <c r="E287" t="s">
        <v>119</v>
      </c>
      <c r="F287" t="s">
        <v>120</v>
      </c>
      <c r="G287" t="s">
        <v>121</v>
      </c>
      <c r="H287">
        <v>99999</v>
      </c>
      <c r="I287" t="s">
        <v>30</v>
      </c>
      <c r="J287" t="s">
        <v>60</v>
      </c>
      <c r="K287" t="s">
        <v>61</v>
      </c>
      <c r="N287" t="s">
        <v>122</v>
      </c>
      <c r="O287" t="s">
        <v>119</v>
      </c>
      <c r="P287" t="s">
        <v>120</v>
      </c>
      <c r="Q287" t="s">
        <v>121</v>
      </c>
      <c r="R287">
        <v>99999</v>
      </c>
      <c r="S287" t="s">
        <v>30</v>
      </c>
      <c r="U287" t="s">
        <v>54</v>
      </c>
      <c r="V287" t="s">
        <v>37</v>
      </c>
      <c r="W287" s="3">
        <v>18</v>
      </c>
      <c r="X287">
        <v>42</v>
      </c>
      <c r="Y287" s="4">
        <v>756</v>
      </c>
      <c r="Z287" s="3">
        <v>76.356000000000009</v>
      </c>
    </row>
    <row r="288" spans="1:26" hidden="1" x14ac:dyDescent="0.35">
      <c r="A288">
        <v>1334</v>
      </c>
      <c r="B288" s="2">
        <v>41944</v>
      </c>
      <c r="C288">
        <v>1</v>
      </c>
      <c r="D288" t="s">
        <v>118</v>
      </c>
      <c r="E288" t="s">
        <v>119</v>
      </c>
      <c r="F288" t="s">
        <v>120</v>
      </c>
      <c r="G288" t="s">
        <v>121</v>
      </c>
      <c r="H288">
        <v>99999</v>
      </c>
      <c r="I288" t="s">
        <v>30</v>
      </c>
      <c r="J288" t="s">
        <v>60</v>
      </c>
      <c r="K288" t="s">
        <v>61</v>
      </c>
      <c r="L288" s="2"/>
      <c r="N288" t="s">
        <v>122</v>
      </c>
      <c r="O288" t="s">
        <v>119</v>
      </c>
      <c r="P288" t="s">
        <v>120</v>
      </c>
      <c r="Q288" t="s">
        <v>121</v>
      </c>
      <c r="R288">
        <v>99999</v>
      </c>
      <c r="S288" t="s">
        <v>30</v>
      </c>
      <c r="U288" t="s">
        <v>55</v>
      </c>
      <c r="V288" t="s">
        <v>37</v>
      </c>
      <c r="W288" s="3">
        <v>46</v>
      </c>
      <c r="X288">
        <v>16</v>
      </c>
      <c r="Y288" s="4">
        <v>736</v>
      </c>
      <c r="Z288" s="3">
        <v>70.656000000000006</v>
      </c>
    </row>
    <row r="289" spans="1:26" hidden="1" x14ac:dyDescent="0.35">
      <c r="A289">
        <v>1335</v>
      </c>
      <c r="B289" s="2">
        <v>41944</v>
      </c>
      <c r="C289">
        <v>1</v>
      </c>
      <c r="D289" t="s">
        <v>118</v>
      </c>
      <c r="E289" t="s">
        <v>119</v>
      </c>
      <c r="F289" t="s">
        <v>120</v>
      </c>
      <c r="G289" t="s">
        <v>121</v>
      </c>
      <c r="H289">
        <v>99999</v>
      </c>
      <c r="I289" t="s">
        <v>30</v>
      </c>
      <c r="J289" t="s">
        <v>60</v>
      </c>
      <c r="K289" t="s">
        <v>61</v>
      </c>
      <c r="L289" s="2"/>
      <c r="N289" t="s">
        <v>122</v>
      </c>
      <c r="O289" t="s">
        <v>119</v>
      </c>
      <c r="P289" t="s">
        <v>120</v>
      </c>
      <c r="Q289" t="s">
        <v>121</v>
      </c>
      <c r="R289">
        <v>99999</v>
      </c>
      <c r="S289" t="s">
        <v>30</v>
      </c>
      <c r="U289" t="s">
        <v>103</v>
      </c>
      <c r="V289" t="s">
        <v>37</v>
      </c>
      <c r="W289" s="3">
        <v>2.99</v>
      </c>
      <c r="X289">
        <v>22</v>
      </c>
      <c r="Y289" s="4">
        <v>65.78</v>
      </c>
      <c r="Z289" s="3">
        <v>6.3806599999999998</v>
      </c>
    </row>
    <row r="290" spans="1:26" hidden="1" x14ac:dyDescent="0.35">
      <c r="A290">
        <v>1336</v>
      </c>
      <c r="B290" s="2">
        <v>41971</v>
      </c>
      <c r="C290">
        <v>28</v>
      </c>
      <c r="D290" t="s">
        <v>90</v>
      </c>
      <c r="E290" t="s">
        <v>91</v>
      </c>
      <c r="F290" t="s">
        <v>92</v>
      </c>
      <c r="G290" t="s">
        <v>93</v>
      </c>
      <c r="H290">
        <v>99999</v>
      </c>
      <c r="I290" t="s">
        <v>30</v>
      </c>
      <c r="J290" t="s">
        <v>94</v>
      </c>
      <c r="K290" t="s">
        <v>95</v>
      </c>
      <c r="L290" s="2">
        <v>41973</v>
      </c>
      <c r="M290" t="s">
        <v>62</v>
      </c>
      <c r="N290" t="s">
        <v>96</v>
      </c>
      <c r="O290" t="s">
        <v>91</v>
      </c>
      <c r="P290" t="s">
        <v>92</v>
      </c>
      <c r="Q290" t="s">
        <v>93</v>
      </c>
      <c r="R290">
        <v>99999</v>
      </c>
      <c r="S290" t="s">
        <v>30</v>
      </c>
      <c r="T290" t="s">
        <v>48</v>
      </c>
      <c r="U290" t="s">
        <v>80</v>
      </c>
      <c r="V290" t="s">
        <v>81</v>
      </c>
      <c r="W290" s="3">
        <v>9.65</v>
      </c>
      <c r="X290">
        <v>46</v>
      </c>
      <c r="Y290" s="4">
        <v>443.90000000000003</v>
      </c>
      <c r="Z290" s="3">
        <v>45.721700000000006</v>
      </c>
    </row>
    <row r="291" spans="1:26" hidden="1" x14ac:dyDescent="0.35">
      <c r="A291">
        <v>1337</v>
      </c>
      <c r="B291" s="2">
        <v>41971</v>
      </c>
      <c r="C291">
        <v>28</v>
      </c>
      <c r="D291" t="s">
        <v>90</v>
      </c>
      <c r="E291" t="s">
        <v>91</v>
      </c>
      <c r="F291" t="s">
        <v>92</v>
      </c>
      <c r="G291" t="s">
        <v>93</v>
      </c>
      <c r="H291">
        <v>99999</v>
      </c>
      <c r="I291" t="s">
        <v>30</v>
      </c>
      <c r="J291" t="s">
        <v>94</v>
      </c>
      <c r="K291" t="s">
        <v>95</v>
      </c>
      <c r="L291">
        <v>41973</v>
      </c>
      <c r="M291" t="s">
        <v>62</v>
      </c>
      <c r="N291" t="s">
        <v>96</v>
      </c>
      <c r="O291" t="s">
        <v>91</v>
      </c>
      <c r="P291" t="s">
        <v>92</v>
      </c>
      <c r="Q291" t="s">
        <v>93</v>
      </c>
      <c r="R291">
        <v>99999</v>
      </c>
      <c r="S291" t="s">
        <v>30</v>
      </c>
      <c r="T291" t="s">
        <v>48</v>
      </c>
      <c r="U291" t="s">
        <v>123</v>
      </c>
      <c r="V291" t="s">
        <v>124</v>
      </c>
      <c r="W291" s="3">
        <v>18.399999999999999</v>
      </c>
      <c r="X291">
        <v>100</v>
      </c>
      <c r="Y291" s="4">
        <v>1839.9999999999998</v>
      </c>
      <c r="Z291" s="3">
        <v>184</v>
      </c>
    </row>
    <row r="292" spans="1:26" hidden="1" x14ac:dyDescent="0.35">
      <c r="A292">
        <v>1338</v>
      </c>
      <c r="B292" s="2">
        <v>41952</v>
      </c>
      <c r="C292">
        <v>9</v>
      </c>
      <c r="D292" t="s">
        <v>125</v>
      </c>
      <c r="E292" t="s">
        <v>126</v>
      </c>
      <c r="F292" t="s">
        <v>127</v>
      </c>
      <c r="G292" t="s">
        <v>128</v>
      </c>
      <c r="H292">
        <v>99999</v>
      </c>
      <c r="I292" t="s">
        <v>30</v>
      </c>
      <c r="J292" t="s">
        <v>129</v>
      </c>
      <c r="K292" t="s">
        <v>32</v>
      </c>
      <c r="L292">
        <v>41954</v>
      </c>
      <c r="M292" t="s">
        <v>46</v>
      </c>
      <c r="N292" t="s">
        <v>130</v>
      </c>
      <c r="O292" t="s">
        <v>126</v>
      </c>
      <c r="P292" t="s">
        <v>127</v>
      </c>
      <c r="Q292" t="s">
        <v>128</v>
      </c>
      <c r="R292">
        <v>99999</v>
      </c>
      <c r="S292" t="s">
        <v>30</v>
      </c>
      <c r="T292" t="s">
        <v>35</v>
      </c>
      <c r="U292" t="s">
        <v>131</v>
      </c>
      <c r="V292" t="s">
        <v>132</v>
      </c>
      <c r="W292" s="3">
        <v>19.5</v>
      </c>
      <c r="X292">
        <v>87</v>
      </c>
      <c r="Y292" s="4">
        <v>1696.5</v>
      </c>
      <c r="Z292" s="3">
        <v>174.73950000000002</v>
      </c>
    </row>
    <row r="293" spans="1:26" hidden="1" x14ac:dyDescent="0.35">
      <c r="A293">
        <v>1339</v>
      </c>
      <c r="B293" s="2">
        <v>41952</v>
      </c>
      <c r="C293">
        <v>9</v>
      </c>
      <c r="D293" t="s">
        <v>125</v>
      </c>
      <c r="E293" t="s">
        <v>126</v>
      </c>
      <c r="F293" t="s">
        <v>127</v>
      </c>
      <c r="G293" t="s">
        <v>128</v>
      </c>
      <c r="H293">
        <v>99999</v>
      </c>
      <c r="I293" t="s">
        <v>30</v>
      </c>
      <c r="J293" t="s">
        <v>129</v>
      </c>
      <c r="K293" t="s">
        <v>32</v>
      </c>
      <c r="L293">
        <v>41954</v>
      </c>
      <c r="M293" t="s">
        <v>46</v>
      </c>
      <c r="N293" t="s">
        <v>130</v>
      </c>
      <c r="O293" t="s">
        <v>126</v>
      </c>
      <c r="P293" t="s">
        <v>127</v>
      </c>
      <c r="Q293" t="s">
        <v>128</v>
      </c>
      <c r="R293">
        <v>99999</v>
      </c>
      <c r="S293" t="s">
        <v>30</v>
      </c>
      <c r="T293" t="s">
        <v>35</v>
      </c>
      <c r="U293" t="s">
        <v>133</v>
      </c>
      <c r="V293" t="s">
        <v>134</v>
      </c>
      <c r="W293" s="3">
        <v>34.799999999999997</v>
      </c>
      <c r="X293">
        <v>58</v>
      </c>
      <c r="Y293" s="4">
        <v>2018.3999999999999</v>
      </c>
      <c r="Z293" s="3">
        <v>205.8768</v>
      </c>
    </row>
    <row r="294" spans="1:26" hidden="1" x14ac:dyDescent="0.35">
      <c r="A294">
        <v>1340</v>
      </c>
      <c r="B294" s="2">
        <v>41949</v>
      </c>
      <c r="C294">
        <v>6</v>
      </c>
      <c r="D294" t="s">
        <v>82</v>
      </c>
      <c r="E294" t="s">
        <v>83</v>
      </c>
      <c r="F294" t="s">
        <v>84</v>
      </c>
      <c r="G294" t="s">
        <v>85</v>
      </c>
      <c r="H294">
        <v>99999</v>
      </c>
      <c r="I294" t="s">
        <v>30</v>
      </c>
      <c r="J294" t="s">
        <v>86</v>
      </c>
      <c r="K294" t="s">
        <v>61</v>
      </c>
      <c r="L294">
        <v>41951</v>
      </c>
      <c r="M294" t="s">
        <v>33</v>
      </c>
      <c r="N294" t="s">
        <v>87</v>
      </c>
      <c r="O294" t="s">
        <v>83</v>
      </c>
      <c r="P294" t="s">
        <v>84</v>
      </c>
      <c r="Q294" t="s">
        <v>85</v>
      </c>
      <c r="R294">
        <v>99999</v>
      </c>
      <c r="S294" t="s">
        <v>30</v>
      </c>
      <c r="T294" t="s">
        <v>48</v>
      </c>
      <c r="U294" t="s">
        <v>36</v>
      </c>
      <c r="V294" t="s">
        <v>37</v>
      </c>
      <c r="W294" s="3">
        <v>14</v>
      </c>
      <c r="X294">
        <v>85</v>
      </c>
      <c r="Y294" s="4">
        <v>1190</v>
      </c>
      <c r="Z294" s="3">
        <v>120.19</v>
      </c>
    </row>
    <row r="295" spans="1:26" hidden="1" x14ac:dyDescent="0.35">
      <c r="A295">
        <v>1341</v>
      </c>
      <c r="B295" s="2">
        <v>41951</v>
      </c>
      <c r="C295">
        <v>8</v>
      </c>
      <c r="D295" t="s">
        <v>56</v>
      </c>
      <c r="E295" t="s">
        <v>57</v>
      </c>
      <c r="F295" t="s">
        <v>58</v>
      </c>
      <c r="G295" t="s">
        <v>59</v>
      </c>
      <c r="H295">
        <v>99999</v>
      </c>
      <c r="I295" t="s">
        <v>30</v>
      </c>
      <c r="J295" t="s">
        <v>60</v>
      </c>
      <c r="K295" t="s">
        <v>61</v>
      </c>
      <c r="L295">
        <v>41953</v>
      </c>
      <c r="M295" t="s">
        <v>33</v>
      </c>
      <c r="N295" t="s">
        <v>63</v>
      </c>
      <c r="O295" t="s">
        <v>57</v>
      </c>
      <c r="P295" t="s">
        <v>58</v>
      </c>
      <c r="Q295" t="s">
        <v>59</v>
      </c>
      <c r="R295">
        <v>99999</v>
      </c>
      <c r="S295" t="s">
        <v>30</v>
      </c>
      <c r="T295" t="s">
        <v>35</v>
      </c>
      <c r="U295" t="s">
        <v>88</v>
      </c>
      <c r="V295" t="s">
        <v>89</v>
      </c>
      <c r="W295" s="3">
        <v>40</v>
      </c>
      <c r="X295">
        <v>28</v>
      </c>
      <c r="Y295" s="4">
        <v>1120</v>
      </c>
      <c r="Z295" s="3">
        <v>110.88</v>
      </c>
    </row>
    <row r="296" spans="1:26" hidden="1" x14ac:dyDescent="0.35">
      <c r="A296">
        <v>1342</v>
      </c>
      <c r="B296" s="2">
        <v>41951</v>
      </c>
      <c r="C296">
        <v>8</v>
      </c>
      <c r="D296" t="s">
        <v>56</v>
      </c>
      <c r="E296" t="s">
        <v>57</v>
      </c>
      <c r="F296" t="s">
        <v>58</v>
      </c>
      <c r="G296" t="s">
        <v>59</v>
      </c>
      <c r="H296">
        <v>99999</v>
      </c>
      <c r="I296" t="s">
        <v>30</v>
      </c>
      <c r="J296" t="s">
        <v>60</v>
      </c>
      <c r="K296" t="s">
        <v>61</v>
      </c>
      <c r="L296" s="2">
        <v>41953</v>
      </c>
      <c r="M296" t="s">
        <v>33</v>
      </c>
      <c r="N296" t="s">
        <v>63</v>
      </c>
      <c r="O296" t="s">
        <v>57</v>
      </c>
      <c r="P296" t="s">
        <v>58</v>
      </c>
      <c r="Q296" t="s">
        <v>59</v>
      </c>
      <c r="R296">
        <v>99999</v>
      </c>
      <c r="S296" t="s">
        <v>30</v>
      </c>
      <c r="T296" t="s">
        <v>35</v>
      </c>
      <c r="U296" t="s">
        <v>64</v>
      </c>
      <c r="V296" t="s">
        <v>65</v>
      </c>
      <c r="W296" s="3">
        <v>9.1999999999999993</v>
      </c>
      <c r="X296">
        <v>19</v>
      </c>
      <c r="Y296" s="4">
        <v>174.79999999999998</v>
      </c>
      <c r="Z296" s="3">
        <v>17.130400000000002</v>
      </c>
    </row>
    <row r="297" spans="1:26" hidden="1" x14ac:dyDescent="0.35">
      <c r="A297">
        <v>1343</v>
      </c>
      <c r="B297" s="2">
        <v>41968</v>
      </c>
      <c r="C297">
        <v>25</v>
      </c>
      <c r="D297" t="s">
        <v>137</v>
      </c>
      <c r="E297" t="s">
        <v>138</v>
      </c>
      <c r="F297" t="s">
        <v>99</v>
      </c>
      <c r="G297" t="s">
        <v>100</v>
      </c>
      <c r="H297">
        <v>99999</v>
      </c>
      <c r="I297" t="s">
        <v>30</v>
      </c>
      <c r="J297" t="s">
        <v>101</v>
      </c>
      <c r="K297" t="s">
        <v>45</v>
      </c>
      <c r="L297" s="2">
        <v>41970</v>
      </c>
      <c r="M297" t="s">
        <v>46</v>
      </c>
      <c r="N297" t="s">
        <v>139</v>
      </c>
      <c r="O297" t="s">
        <v>138</v>
      </c>
      <c r="P297" t="s">
        <v>99</v>
      </c>
      <c r="Q297" t="s">
        <v>100</v>
      </c>
      <c r="R297">
        <v>99999</v>
      </c>
      <c r="S297" t="s">
        <v>30</v>
      </c>
      <c r="T297" t="s">
        <v>79</v>
      </c>
      <c r="U297" t="s">
        <v>146</v>
      </c>
      <c r="V297" t="s">
        <v>65</v>
      </c>
      <c r="W297" s="3">
        <v>10</v>
      </c>
      <c r="X297">
        <v>99</v>
      </c>
      <c r="Y297" s="4">
        <v>990</v>
      </c>
      <c r="Z297" s="3">
        <v>102.96000000000001</v>
      </c>
    </row>
    <row r="298" spans="1:26" hidden="1" x14ac:dyDescent="0.35">
      <c r="A298">
        <v>1344</v>
      </c>
      <c r="B298" s="2">
        <v>41969</v>
      </c>
      <c r="C298">
        <v>26</v>
      </c>
      <c r="D298" t="s">
        <v>140</v>
      </c>
      <c r="E298" t="s">
        <v>141</v>
      </c>
      <c r="F298" t="s">
        <v>115</v>
      </c>
      <c r="G298" t="s">
        <v>116</v>
      </c>
      <c r="H298">
        <v>99999</v>
      </c>
      <c r="I298" t="s">
        <v>30</v>
      </c>
      <c r="J298" t="s">
        <v>94</v>
      </c>
      <c r="K298" t="s">
        <v>95</v>
      </c>
      <c r="L298" s="2">
        <v>41971</v>
      </c>
      <c r="M298" t="s">
        <v>62</v>
      </c>
      <c r="N298" t="s">
        <v>142</v>
      </c>
      <c r="O298" t="s">
        <v>141</v>
      </c>
      <c r="P298" t="s">
        <v>115</v>
      </c>
      <c r="Q298" t="s">
        <v>116</v>
      </c>
      <c r="R298">
        <v>99999</v>
      </c>
      <c r="S298" t="s">
        <v>30</v>
      </c>
      <c r="T298" t="s">
        <v>48</v>
      </c>
      <c r="U298" t="s">
        <v>147</v>
      </c>
      <c r="V298" t="s">
        <v>148</v>
      </c>
      <c r="W298" s="3">
        <v>21.35</v>
      </c>
      <c r="X298">
        <v>69</v>
      </c>
      <c r="Y298" s="4">
        <v>1473.15</v>
      </c>
      <c r="Z298" s="3">
        <v>153.20760000000004</v>
      </c>
    </row>
    <row r="299" spans="1:26" hidden="1" x14ac:dyDescent="0.35">
      <c r="A299">
        <v>1345</v>
      </c>
      <c r="B299" s="2">
        <v>41969</v>
      </c>
      <c r="C299">
        <v>26</v>
      </c>
      <c r="D299" t="s">
        <v>140</v>
      </c>
      <c r="E299" t="s">
        <v>141</v>
      </c>
      <c r="F299" t="s">
        <v>115</v>
      </c>
      <c r="G299" t="s">
        <v>116</v>
      </c>
      <c r="H299">
        <v>99999</v>
      </c>
      <c r="I299" t="s">
        <v>30</v>
      </c>
      <c r="J299" t="s">
        <v>94</v>
      </c>
      <c r="K299" t="s">
        <v>95</v>
      </c>
      <c r="L299" s="2">
        <v>41971</v>
      </c>
      <c r="M299" t="s">
        <v>62</v>
      </c>
      <c r="N299" t="s">
        <v>142</v>
      </c>
      <c r="O299" t="s">
        <v>141</v>
      </c>
      <c r="P299" t="s">
        <v>115</v>
      </c>
      <c r="Q299" t="s">
        <v>116</v>
      </c>
      <c r="R299">
        <v>99999</v>
      </c>
      <c r="S299" t="s">
        <v>30</v>
      </c>
      <c r="T299" t="s">
        <v>48</v>
      </c>
      <c r="U299" t="s">
        <v>80</v>
      </c>
      <c r="V299" t="s">
        <v>81</v>
      </c>
      <c r="W299" s="3">
        <v>9.65</v>
      </c>
      <c r="X299">
        <v>37</v>
      </c>
      <c r="Y299" s="4">
        <v>357.05</v>
      </c>
      <c r="Z299" s="3">
        <v>33.919750000000001</v>
      </c>
    </row>
    <row r="300" spans="1:26" hidden="1" x14ac:dyDescent="0.35">
      <c r="A300">
        <v>1346</v>
      </c>
      <c r="B300" s="2">
        <v>41969</v>
      </c>
      <c r="C300">
        <v>26</v>
      </c>
      <c r="D300" t="s">
        <v>140</v>
      </c>
      <c r="E300" t="s">
        <v>141</v>
      </c>
      <c r="F300" t="s">
        <v>115</v>
      </c>
      <c r="G300" t="s">
        <v>116</v>
      </c>
      <c r="H300">
        <v>99999</v>
      </c>
      <c r="I300" t="s">
        <v>30</v>
      </c>
      <c r="J300" t="s">
        <v>94</v>
      </c>
      <c r="K300" t="s">
        <v>95</v>
      </c>
      <c r="L300" s="2">
        <v>41971</v>
      </c>
      <c r="M300" t="s">
        <v>62</v>
      </c>
      <c r="N300" t="s">
        <v>142</v>
      </c>
      <c r="O300" t="s">
        <v>141</v>
      </c>
      <c r="P300" t="s">
        <v>115</v>
      </c>
      <c r="Q300" t="s">
        <v>116</v>
      </c>
      <c r="R300">
        <v>99999</v>
      </c>
      <c r="S300" t="s">
        <v>30</v>
      </c>
      <c r="T300" t="s">
        <v>48</v>
      </c>
      <c r="U300" t="s">
        <v>123</v>
      </c>
      <c r="V300" t="s">
        <v>124</v>
      </c>
      <c r="W300" s="3">
        <v>18.399999999999999</v>
      </c>
      <c r="X300">
        <v>64</v>
      </c>
      <c r="Y300" s="4">
        <v>1177.5999999999999</v>
      </c>
      <c r="Z300" s="3">
        <v>118.93759999999999</v>
      </c>
    </row>
    <row r="301" spans="1:26" hidden="1" x14ac:dyDescent="0.35">
      <c r="A301">
        <v>1347</v>
      </c>
      <c r="B301" s="2">
        <v>41972</v>
      </c>
      <c r="C301">
        <v>29</v>
      </c>
      <c r="D301" t="s">
        <v>66</v>
      </c>
      <c r="E301" t="s">
        <v>67</v>
      </c>
      <c r="F301" t="s">
        <v>68</v>
      </c>
      <c r="G301" t="s">
        <v>69</v>
      </c>
      <c r="H301">
        <v>99999</v>
      </c>
      <c r="I301" t="s">
        <v>30</v>
      </c>
      <c r="J301" t="s">
        <v>70</v>
      </c>
      <c r="K301" t="s">
        <v>32</v>
      </c>
      <c r="L301" s="2">
        <v>41974</v>
      </c>
      <c r="M301" t="s">
        <v>33</v>
      </c>
      <c r="N301" t="s">
        <v>71</v>
      </c>
      <c r="O301" t="s">
        <v>67</v>
      </c>
      <c r="P301" t="s">
        <v>68</v>
      </c>
      <c r="Q301" t="s">
        <v>69</v>
      </c>
      <c r="R301">
        <v>99999</v>
      </c>
      <c r="S301" t="s">
        <v>30</v>
      </c>
      <c r="T301" t="s">
        <v>35</v>
      </c>
      <c r="U301" t="s">
        <v>36</v>
      </c>
      <c r="V301" t="s">
        <v>37</v>
      </c>
      <c r="W301" s="3">
        <v>14</v>
      </c>
      <c r="X301">
        <v>38</v>
      </c>
      <c r="Y301" s="4">
        <v>532</v>
      </c>
      <c r="Z301" s="3">
        <v>55.328000000000003</v>
      </c>
    </row>
    <row r="302" spans="1:26" hidden="1" x14ac:dyDescent="0.35">
      <c r="A302">
        <v>1348</v>
      </c>
      <c r="B302" s="2">
        <v>41949</v>
      </c>
      <c r="C302">
        <v>6</v>
      </c>
      <c r="D302" t="s">
        <v>82</v>
      </c>
      <c r="E302" t="s">
        <v>83</v>
      </c>
      <c r="F302" t="s">
        <v>84</v>
      </c>
      <c r="G302" t="s">
        <v>85</v>
      </c>
      <c r="H302">
        <v>99999</v>
      </c>
      <c r="I302" t="s">
        <v>30</v>
      </c>
      <c r="J302" t="s">
        <v>86</v>
      </c>
      <c r="K302" t="s">
        <v>61</v>
      </c>
      <c r="L302" s="2">
        <v>41951</v>
      </c>
      <c r="M302" t="s">
        <v>62</v>
      </c>
      <c r="N302" t="s">
        <v>87</v>
      </c>
      <c r="O302" t="s">
        <v>83</v>
      </c>
      <c r="P302" t="s">
        <v>84</v>
      </c>
      <c r="Q302" t="s">
        <v>85</v>
      </c>
      <c r="R302">
        <v>99999</v>
      </c>
      <c r="S302" t="s">
        <v>30</v>
      </c>
      <c r="T302" t="s">
        <v>35</v>
      </c>
      <c r="U302" t="s">
        <v>72</v>
      </c>
      <c r="V302" t="s">
        <v>73</v>
      </c>
      <c r="W302" s="3">
        <v>12.75</v>
      </c>
      <c r="X302">
        <v>15</v>
      </c>
      <c r="Y302" s="4">
        <v>191.25</v>
      </c>
      <c r="Z302" s="3">
        <v>18.55125</v>
      </c>
    </row>
    <row r="303" spans="1:26" hidden="1" x14ac:dyDescent="0.35">
      <c r="A303">
        <v>1350</v>
      </c>
      <c r="B303" s="2">
        <v>41947</v>
      </c>
      <c r="C303">
        <v>4</v>
      </c>
      <c r="D303" t="s">
        <v>40</v>
      </c>
      <c r="E303" t="s">
        <v>41</v>
      </c>
      <c r="F303" t="s">
        <v>42</v>
      </c>
      <c r="G303" t="s">
        <v>43</v>
      </c>
      <c r="H303">
        <v>99999</v>
      </c>
      <c r="I303" t="s">
        <v>30</v>
      </c>
      <c r="J303" t="s">
        <v>44</v>
      </c>
      <c r="K303" t="s">
        <v>45</v>
      </c>
      <c r="L303" s="2">
        <v>41949</v>
      </c>
      <c r="M303" t="s">
        <v>46</v>
      </c>
      <c r="N303" t="s">
        <v>47</v>
      </c>
      <c r="O303" t="s">
        <v>41</v>
      </c>
      <c r="P303" t="s">
        <v>42</v>
      </c>
      <c r="Q303" t="s">
        <v>43</v>
      </c>
      <c r="R303">
        <v>99999</v>
      </c>
      <c r="S303" t="s">
        <v>30</v>
      </c>
      <c r="T303" t="s">
        <v>48</v>
      </c>
      <c r="U303" t="s">
        <v>149</v>
      </c>
      <c r="V303" t="s">
        <v>110</v>
      </c>
      <c r="W303" s="3">
        <v>81</v>
      </c>
      <c r="X303">
        <v>52</v>
      </c>
      <c r="Y303" s="4">
        <v>4212</v>
      </c>
      <c r="Z303" s="3">
        <v>412.77600000000001</v>
      </c>
    </row>
    <row r="304" spans="1:26" hidden="1" x14ac:dyDescent="0.35">
      <c r="A304">
        <v>1351</v>
      </c>
      <c r="B304" s="2">
        <v>41947</v>
      </c>
      <c r="C304">
        <v>4</v>
      </c>
      <c r="D304" t="s">
        <v>40</v>
      </c>
      <c r="E304" t="s">
        <v>41</v>
      </c>
      <c r="F304" t="s">
        <v>42</v>
      </c>
      <c r="G304" t="s">
        <v>43</v>
      </c>
      <c r="H304">
        <v>99999</v>
      </c>
      <c r="I304" t="s">
        <v>30</v>
      </c>
      <c r="J304" t="s">
        <v>44</v>
      </c>
      <c r="K304" t="s">
        <v>45</v>
      </c>
      <c r="L304" s="2">
        <v>41949</v>
      </c>
      <c r="M304" t="s">
        <v>46</v>
      </c>
      <c r="N304" t="s">
        <v>47</v>
      </c>
      <c r="O304" t="s">
        <v>41</v>
      </c>
      <c r="P304" t="s">
        <v>42</v>
      </c>
      <c r="Q304" t="s">
        <v>43</v>
      </c>
      <c r="R304">
        <v>99999</v>
      </c>
      <c r="S304" t="s">
        <v>30</v>
      </c>
      <c r="T304" t="s">
        <v>48</v>
      </c>
      <c r="U304" t="s">
        <v>150</v>
      </c>
      <c r="V304" t="s">
        <v>151</v>
      </c>
      <c r="W304" s="3">
        <v>7</v>
      </c>
      <c r="X304">
        <v>37</v>
      </c>
      <c r="Y304" s="4">
        <v>259</v>
      </c>
      <c r="Z304" s="3">
        <v>25.382000000000001</v>
      </c>
    </row>
    <row r="305" spans="1:26" hidden="1" x14ac:dyDescent="0.35">
      <c r="A305">
        <v>1353</v>
      </c>
      <c r="B305" s="2">
        <v>41951</v>
      </c>
      <c r="C305">
        <v>8</v>
      </c>
      <c r="D305" t="s">
        <v>56</v>
      </c>
      <c r="E305" t="s">
        <v>57</v>
      </c>
      <c r="F305" t="s">
        <v>58</v>
      </c>
      <c r="G305" t="s">
        <v>59</v>
      </c>
      <c r="H305">
        <v>99999</v>
      </c>
      <c r="I305" t="s">
        <v>30</v>
      </c>
      <c r="J305" t="s">
        <v>60</v>
      </c>
      <c r="K305" t="s">
        <v>61</v>
      </c>
      <c r="L305" s="2">
        <v>41953</v>
      </c>
      <c r="M305" t="s">
        <v>62</v>
      </c>
      <c r="N305" t="s">
        <v>63</v>
      </c>
      <c r="O305" t="s">
        <v>57</v>
      </c>
      <c r="P305" t="s">
        <v>58</v>
      </c>
      <c r="Q305" t="s">
        <v>59</v>
      </c>
      <c r="R305">
        <v>99999</v>
      </c>
      <c r="S305" t="s">
        <v>30</v>
      </c>
      <c r="T305" t="s">
        <v>48</v>
      </c>
      <c r="U305" t="s">
        <v>133</v>
      </c>
      <c r="V305" t="s">
        <v>134</v>
      </c>
      <c r="W305" s="3">
        <v>34.799999999999997</v>
      </c>
      <c r="X305">
        <v>24</v>
      </c>
      <c r="Y305" s="4">
        <v>835.19999999999993</v>
      </c>
      <c r="Z305" s="3">
        <v>80.179199999999994</v>
      </c>
    </row>
    <row r="306" spans="1:26" hidden="1" x14ac:dyDescent="0.35">
      <c r="A306">
        <v>1356</v>
      </c>
      <c r="B306" s="2">
        <v>41946</v>
      </c>
      <c r="C306">
        <v>3</v>
      </c>
      <c r="D306" t="s">
        <v>74</v>
      </c>
      <c r="E306" t="s">
        <v>75</v>
      </c>
      <c r="F306" t="s">
        <v>76</v>
      </c>
      <c r="G306" t="s">
        <v>77</v>
      </c>
      <c r="H306">
        <v>99999</v>
      </c>
      <c r="I306" t="s">
        <v>30</v>
      </c>
      <c r="J306" t="s">
        <v>31</v>
      </c>
      <c r="K306" t="s">
        <v>32</v>
      </c>
      <c r="L306" s="2">
        <v>41948</v>
      </c>
      <c r="M306" t="s">
        <v>33</v>
      </c>
      <c r="N306" t="s">
        <v>78</v>
      </c>
      <c r="O306" t="s">
        <v>75</v>
      </c>
      <c r="P306" t="s">
        <v>76</v>
      </c>
      <c r="Q306" t="s">
        <v>77</v>
      </c>
      <c r="R306">
        <v>99999</v>
      </c>
      <c r="S306" t="s">
        <v>30</v>
      </c>
      <c r="T306" t="s">
        <v>79</v>
      </c>
      <c r="U306" t="s">
        <v>135</v>
      </c>
      <c r="V306" t="s">
        <v>112</v>
      </c>
      <c r="W306" s="3">
        <v>10</v>
      </c>
      <c r="X306">
        <v>36</v>
      </c>
      <c r="Y306" s="4">
        <v>360</v>
      </c>
      <c r="Z306" s="3">
        <v>37.08</v>
      </c>
    </row>
    <row r="307" spans="1:26" hidden="1" x14ac:dyDescent="0.35">
      <c r="A307">
        <v>1357</v>
      </c>
      <c r="B307" s="2">
        <v>41946</v>
      </c>
      <c r="C307">
        <v>3</v>
      </c>
      <c r="D307" t="s">
        <v>74</v>
      </c>
      <c r="E307" t="s">
        <v>75</v>
      </c>
      <c r="F307" t="s">
        <v>76</v>
      </c>
      <c r="G307" t="s">
        <v>77</v>
      </c>
      <c r="H307">
        <v>99999</v>
      </c>
      <c r="I307" t="s">
        <v>30</v>
      </c>
      <c r="J307" t="s">
        <v>31</v>
      </c>
      <c r="K307" t="s">
        <v>32</v>
      </c>
      <c r="L307" s="2">
        <v>41948</v>
      </c>
      <c r="M307" t="s">
        <v>33</v>
      </c>
      <c r="N307" t="s">
        <v>78</v>
      </c>
      <c r="O307" t="s">
        <v>75</v>
      </c>
      <c r="P307" t="s">
        <v>76</v>
      </c>
      <c r="Q307" t="s">
        <v>77</v>
      </c>
      <c r="R307">
        <v>99999</v>
      </c>
      <c r="S307" t="s">
        <v>30</v>
      </c>
      <c r="T307" t="s">
        <v>79</v>
      </c>
      <c r="U307" t="s">
        <v>88</v>
      </c>
      <c r="V307" t="s">
        <v>89</v>
      </c>
      <c r="W307" s="3">
        <v>40</v>
      </c>
      <c r="X307">
        <v>24</v>
      </c>
      <c r="Y307" s="4">
        <v>960</v>
      </c>
      <c r="Z307" s="3">
        <v>96</v>
      </c>
    </row>
    <row r="308" spans="1:26" hidden="1" x14ac:dyDescent="0.35">
      <c r="A308">
        <v>1361</v>
      </c>
      <c r="B308" s="2">
        <v>41953</v>
      </c>
      <c r="C308">
        <v>10</v>
      </c>
      <c r="D308" t="s">
        <v>97</v>
      </c>
      <c r="E308" t="s">
        <v>98</v>
      </c>
      <c r="F308" t="s">
        <v>99</v>
      </c>
      <c r="G308" t="s">
        <v>100</v>
      </c>
      <c r="H308">
        <v>99999</v>
      </c>
      <c r="I308" t="s">
        <v>30</v>
      </c>
      <c r="J308" t="s">
        <v>101</v>
      </c>
      <c r="K308" t="s">
        <v>45</v>
      </c>
      <c r="L308" s="2">
        <v>41955</v>
      </c>
      <c r="M308" t="s">
        <v>33</v>
      </c>
      <c r="N308" t="s">
        <v>102</v>
      </c>
      <c r="O308" t="s">
        <v>98</v>
      </c>
      <c r="P308" t="s">
        <v>99</v>
      </c>
      <c r="Q308" t="s">
        <v>100</v>
      </c>
      <c r="R308">
        <v>99999</v>
      </c>
      <c r="S308" t="s">
        <v>30</v>
      </c>
      <c r="T308" t="s">
        <v>48</v>
      </c>
      <c r="U308" t="s">
        <v>136</v>
      </c>
      <c r="V308" t="s">
        <v>39</v>
      </c>
      <c r="W308" s="3">
        <v>10</v>
      </c>
      <c r="X308">
        <v>20</v>
      </c>
      <c r="Y308" s="4">
        <v>200</v>
      </c>
      <c r="Z308" s="3">
        <v>20</v>
      </c>
    </row>
    <row r="309" spans="1:26" hidden="1" x14ac:dyDescent="0.35">
      <c r="A309">
        <v>1363</v>
      </c>
      <c r="B309" s="2">
        <v>41953</v>
      </c>
      <c r="C309">
        <v>10</v>
      </c>
      <c r="D309" t="s">
        <v>97</v>
      </c>
      <c r="E309" t="s">
        <v>98</v>
      </c>
      <c r="F309" t="s">
        <v>99</v>
      </c>
      <c r="G309" t="s">
        <v>100</v>
      </c>
      <c r="H309">
        <v>99999</v>
      </c>
      <c r="I309" t="s">
        <v>30</v>
      </c>
      <c r="J309" t="s">
        <v>101</v>
      </c>
      <c r="K309" t="s">
        <v>45</v>
      </c>
      <c r="L309" s="2"/>
      <c r="M309" t="s">
        <v>46</v>
      </c>
      <c r="N309" t="s">
        <v>102</v>
      </c>
      <c r="O309" t="s">
        <v>98</v>
      </c>
      <c r="P309" t="s">
        <v>99</v>
      </c>
      <c r="Q309" t="s">
        <v>100</v>
      </c>
      <c r="R309">
        <v>99999</v>
      </c>
      <c r="S309" t="s">
        <v>30</v>
      </c>
      <c r="U309" t="s">
        <v>38</v>
      </c>
      <c r="V309" t="s">
        <v>39</v>
      </c>
      <c r="W309">
        <v>3.5</v>
      </c>
      <c r="X309">
        <v>11</v>
      </c>
      <c r="Y309" s="4">
        <v>38.5</v>
      </c>
      <c r="Z309" s="3">
        <v>3.7345000000000002</v>
      </c>
    </row>
    <row r="310" spans="1:26" hidden="1" x14ac:dyDescent="0.35">
      <c r="A310">
        <v>1364</v>
      </c>
      <c r="B310" s="2">
        <v>41954</v>
      </c>
      <c r="C310">
        <v>11</v>
      </c>
      <c r="D310" t="s">
        <v>113</v>
      </c>
      <c r="E310" t="s">
        <v>114</v>
      </c>
      <c r="F310" t="s">
        <v>115</v>
      </c>
      <c r="G310" t="s">
        <v>116</v>
      </c>
      <c r="H310">
        <v>99999</v>
      </c>
      <c r="I310" t="s">
        <v>30</v>
      </c>
      <c r="J310" t="s">
        <v>94</v>
      </c>
      <c r="K310" t="s">
        <v>95</v>
      </c>
      <c r="L310" s="2"/>
      <c r="M310" t="s">
        <v>62</v>
      </c>
      <c r="N310" t="s">
        <v>117</v>
      </c>
      <c r="O310" t="s">
        <v>114</v>
      </c>
      <c r="P310" t="s">
        <v>115</v>
      </c>
      <c r="Q310" t="s">
        <v>116</v>
      </c>
      <c r="R310">
        <v>99999</v>
      </c>
      <c r="S310" t="s">
        <v>30</v>
      </c>
      <c r="U310" t="s">
        <v>88</v>
      </c>
      <c r="V310" t="s">
        <v>89</v>
      </c>
      <c r="W310">
        <v>40</v>
      </c>
      <c r="X310">
        <v>78</v>
      </c>
      <c r="Y310" s="4">
        <v>3120</v>
      </c>
      <c r="Z310" s="3">
        <v>299.52</v>
      </c>
    </row>
    <row r="311" spans="1:26" hidden="1" x14ac:dyDescent="0.35">
      <c r="A311">
        <v>1365</v>
      </c>
      <c r="B311" s="2">
        <v>41944</v>
      </c>
      <c r="C311">
        <v>1</v>
      </c>
      <c r="D311" t="s">
        <v>118</v>
      </c>
      <c r="E311" t="s">
        <v>119</v>
      </c>
      <c r="F311" t="s">
        <v>120</v>
      </c>
      <c r="G311" t="s">
        <v>121</v>
      </c>
      <c r="H311">
        <v>99999</v>
      </c>
      <c r="I311" t="s">
        <v>30</v>
      </c>
      <c r="J311" t="s">
        <v>60</v>
      </c>
      <c r="K311" t="s">
        <v>61</v>
      </c>
      <c r="L311" s="2"/>
      <c r="M311" t="s">
        <v>62</v>
      </c>
      <c r="N311" t="s">
        <v>122</v>
      </c>
      <c r="O311" t="s">
        <v>119</v>
      </c>
      <c r="P311" t="s">
        <v>120</v>
      </c>
      <c r="Q311" t="s">
        <v>121</v>
      </c>
      <c r="R311">
        <v>99999</v>
      </c>
      <c r="S311" t="s">
        <v>30</v>
      </c>
      <c r="U311" t="s">
        <v>123</v>
      </c>
      <c r="V311" t="s">
        <v>124</v>
      </c>
      <c r="W311">
        <v>18.399999999999999</v>
      </c>
      <c r="X311">
        <v>76</v>
      </c>
      <c r="Y311" s="4">
        <v>1398.3999999999999</v>
      </c>
      <c r="Z311" s="3">
        <v>144.0352</v>
      </c>
    </row>
    <row r="312" spans="1:26" hidden="1" x14ac:dyDescent="0.35">
      <c r="A312">
        <v>1366</v>
      </c>
      <c r="B312" s="2">
        <v>41971</v>
      </c>
      <c r="C312">
        <v>28</v>
      </c>
      <c r="D312" t="s">
        <v>90</v>
      </c>
      <c r="E312" t="s">
        <v>91</v>
      </c>
      <c r="F312" t="s">
        <v>92</v>
      </c>
      <c r="G312" t="s">
        <v>93</v>
      </c>
      <c r="H312">
        <v>99999</v>
      </c>
      <c r="I312" t="s">
        <v>30</v>
      </c>
      <c r="J312" t="s">
        <v>94</v>
      </c>
      <c r="K312" t="s">
        <v>95</v>
      </c>
      <c r="L312" s="2">
        <v>41973</v>
      </c>
      <c r="M312" t="s">
        <v>62</v>
      </c>
      <c r="N312" t="s">
        <v>96</v>
      </c>
      <c r="O312" t="s">
        <v>91</v>
      </c>
      <c r="P312" t="s">
        <v>92</v>
      </c>
      <c r="Q312" t="s">
        <v>93</v>
      </c>
      <c r="R312">
        <v>99999</v>
      </c>
      <c r="S312" t="s">
        <v>30</v>
      </c>
      <c r="T312" t="s">
        <v>48</v>
      </c>
      <c r="U312" t="s">
        <v>55</v>
      </c>
      <c r="V312" t="s">
        <v>37</v>
      </c>
      <c r="W312">
        <v>46</v>
      </c>
      <c r="X312">
        <v>57</v>
      </c>
      <c r="Y312" s="4">
        <v>2622</v>
      </c>
      <c r="Z312" s="3">
        <v>272.68799999999999</v>
      </c>
    </row>
    <row r="313" spans="1:26" hidden="1" x14ac:dyDescent="0.35">
      <c r="A313">
        <v>1367</v>
      </c>
      <c r="B313" s="2">
        <v>41952</v>
      </c>
      <c r="C313">
        <v>9</v>
      </c>
      <c r="D313" t="s">
        <v>125</v>
      </c>
      <c r="E313" t="s">
        <v>126</v>
      </c>
      <c r="F313" t="s">
        <v>127</v>
      </c>
      <c r="G313" t="s">
        <v>128</v>
      </c>
      <c r="H313">
        <v>99999</v>
      </c>
      <c r="I313" t="s">
        <v>30</v>
      </c>
      <c r="J313" t="s">
        <v>129</v>
      </c>
      <c r="K313" t="s">
        <v>32</v>
      </c>
      <c r="L313" s="2">
        <v>41954</v>
      </c>
      <c r="M313" t="s">
        <v>46</v>
      </c>
      <c r="N313" t="s">
        <v>130</v>
      </c>
      <c r="O313" t="s">
        <v>126</v>
      </c>
      <c r="P313" t="s">
        <v>127</v>
      </c>
      <c r="Q313" t="s">
        <v>128</v>
      </c>
      <c r="R313">
        <v>99999</v>
      </c>
      <c r="S313" t="s">
        <v>30</v>
      </c>
      <c r="T313" t="s">
        <v>35</v>
      </c>
      <c r="U313" t="s">
        <v>80</v>
      </c>
      <c r="V313" t="s">
        <v>81</v>
      </c>
      <c r="W313">
        <v>9.65</v>
      </c>
      <c r="X313">
        <v>14</v>
      </c>
      <c r="Y313" s="4">
        <v>135.1</v>
      </c>
      <c r="Z313" s="3">
        <v>12.9696</v>
      </c>
    </row>
    <row r="314" spans="1:26" hidden="1" x14ac:dyDescent="0.35">
      <c r="A314">
        <v>1368</v>
      </c>
      <c r="B314" s="2">
        <v>42000</v>
      </c>
      <c r="C314">
        <v>27</v>
      </c>
      <c r="D314" t="s">
        <v>26</v>
      </c>
      <c r="E314" t="s">
        <v>27</v>
      </c>
      <c r="F314" t="s">
        <v>28</v>
      </c>
      <c r="G314" t="s">
        <v>29</v>
      </c>
      <c r="H314">
        <v>99999</v>
      </c>
      <c r="I314" t="s">
        <v>30</v>
      </c>
      <c r="J314" t="s">
        <v>31</v>
      </c>
      <c r="K314" t="s">
        <v>32</v>
      </c>
      <c r="L314" s="2">
        <v>42002</v>
      </c>
      <c r="M314" t="s">
        <v>33</v>
      </c>
      <c r="N314" t="s">
        <v>34</v>
      </c>
      <c r="O314" t="s">
        <v>27</v>
      </c>
      <c r="P314" t="s">
        <v>28</v>
      </c>
      <c r="Q314" t="s">
        <v>29</v>
      </c>
      <c r="R314">
        <v>99999</v>
      </c>
      <c r="S314" t="s">
        <v>30</v>
      </c>
      <c r="T314" t="s">
        <v>35</v>
      </c>
      <c r="U314" t="s">
        <v>36</v>
      </c>
      <c r="V314" t="s">
        <v>37</v>
      </c>
      <c r="W314">
        <v>14</v>
      </c>
      <c r="X314">
        <v>14</v>
      </c>
      <c r="Y314" s="4">
        <v>196</v>
      </c>
      <c r="Z314" s="3">
        <v>19.796000000000003</v>
      </c>
    </row>
    <row r="315" spans="1:26" hidden="1" x14ac:dyDescent="0.35">
      <c r="A315">
        <v>1369</v>
      </c>
      <c r="B315" s="2">
        <v>42000</v>
      </c>
      <c r="C315">
        <v>27</v>
      </c>
      <c r="D315" t="s">
        <v>26</v>
      </c>
      <c r="E315" t="s">
        <v>27</v>
      </c>
      <c r="F315" t="s">
        <v>28</v>
      </c>
      <c r="G315" t="s">
        <v>29</v>
      </c>
      <c r="H315">
        <v>99999</v>
      </c>
      <c r="I315" t="s">
        <v>30</v>
      </c>
      <c r="J315" t="s">
        <v>31</v>
      </c>
      <c r="K315" t="s">
        <v>32</v>
      </c>
      <c r="L315" s="2">
        <v>42002</v>
      </c>
      <c r="M315" t="s">
        <v>33</v>
      </c>
      <c r="N315" t="s">
        <v>34</v>
      </c>
      <c r="O315" t="s">
        <v>27</v>
      </c>
      <c r="P315" t="s">
        <v>28</v>
      </c>
      <c r="Q315" t="s">
        <v>29</v>
      </c>
      <c r="R315">
        <v>99999</v>
      </c>
      <c r="S315" t="s">
        <v>30</v>
      </c>
      <c r="T315" t="s">
        <v>35</v>
      </c>
      <c r="U315" t="s">
        <v>38</v>
      </c>
      <c r="V315" t="s">
        <v>39</v>
      </c>
      <c r="W315">
        <v>3.5</v>
      </c>
      <c r="X315">
        <v>70</v>
      </c>
      <c r="Y315" s="4">
        <v>245</v>
      </c>
      <c r="Z315" s="3">
        <v>25.234999999999999</v>
      </c>
    </row>
    <row r="316" spans="1:26" hidden="1" x14ac:dyDescent="0.35">
      <c r="A316">
        <v>1370</v>
      </c>
      <c r="B316" s="2">
        <v>41977</v>
      </c>
      <c r="C316">
        <v>4</v>
      </c>
      <c r="D316" t="s">
        <v>40</v>
      </c>
      <c r="E316" t="s">
        <v>41</v>
      </c>
      <c r="F316" t="s">
        <v>42</v>
      </c>
      <c r="G316" t="s">
        <v>43</v>
      </c>
      <c r="H316">
        <v>99999</v>
      </c>
      <c r="I316" t="s">
        <v>30</v>
      </c>
      <c r="J316" t="s">
        <v>44</v>
      </c>
      <c r="K316" t="s">
        <v>45</v>
      </c>
      <c r="L316" s="2">
        <v>41979</v>
      </c>
      <c r="M316" t="s">
        <v>46</v>
      </c>
      <c r="N316" t="s">
        <v>47</v>
      </c>
      <c r="O316" t="s">
        <v>41</v>
      </c>
      <c r="P316" t="s">
        <v>42</v>
      </c>
      <c r="Q316" t="s">
        <v>43</v>
      </c>
      <c r="R316">
        <v>99999</v>
      </c>
      <c r="S316" t="s">
        <v>30</v>
      </c>
      <c r="T316" t="s">
        <v>48</v>
      </c>
      <c r="U316" t="s">
        <v>49</v>
      </c>
      <c r="V316" t="s">
        <v>39</v>
      </c>
      <c r="W316">
        <v>30</v>
      </c>
      <c r="X316">
        <v>100</v>
      </c>
      <c r="Y316" s="4">
        <v>3000</v>
      </c>
      <c r="Z316" s="3">
        <v>291</v>
      </c>
    </row>
    <row r="317" spans="1:26" hidden="1" x14ac:dyDescent="0.35">
      <c r="A317">
        <v>1371</v>
      </c>
      <c r="B317" s="2">
        <v>41977</v>
      </c>
      <c r="C317">
        <v>4</v>
      </c>
      <c r="D317" t="s">
        <v>40</v>
      </c>
      <c r="E317" t="s">
        <v>41</v>
      </c>
      <c r="F317" t="s">
        <v>42</v>
      </c>
      <c r="G317" t="s">
        <v>43</v>
      </c>
      <c r="H317">
        <v>99999</v>
      </c>
      <c r="I317" t="s">
        <v>30</v>
      </c>
      <c r="J317" t="s">
        <v>44</v>
      </c>
      <c r="K317" t="s">
        <v>45</v>
      </c>
      <c r="L317" s="2">
        <v>41979</v>
      </c>
      <c r="M317" t="s">
        <v>46</v>
      </c>
      <c r="N317" t="s">
        <v>47</v>
      </c>
      <c r="O317" t="s">
        <v>41</v>
      </c>
      <c r="P317" t="s">
        <v>42</v>
      </c>
      <c r="Q317" t="s">
        <v>43</v>
      </c>
      <c r="R317">
        <v>99999</v>
      </c>
      <c r="S317" t="s">
        <v>30</v>
      </c>
      <c r="T317" t="s">
        <v>48</v>
      </c>
      <c r="U317" t="s">
        <v>50</v>
      </c>
      <c r="V317" t="s">
        <v>39</v>
      </c>
      <c r="W317">
        <v>53</v>
      </c>
      <c r="X317">
        <v>27</v>
      </c>
      <c r="Y317" s="4">
        <v>1431</v>
      </c>
      <c r="Z317" s="3">
        <v>143.1</v>
      </c>
    </row>
    <row r="318" spans="1:26" hidden="1" x14ac:dyDescent="0.35">
      <c r="A318">
        <v>1372</v>
      </c>
      <c r="B318" s="2">
        <v>41977</v>
      </c>
      <c r="C318">
        <v>4</v>
      </c>
      <c r="D318" t="s">
        <v>40</v>
      </c>
      <c r="E318" t="s">
        <v>41</v>
      </c>
      <c r="F318" t="s">
        <v>42</v>
      </c>
      <c r="G318" t="s">
        <v>43</v>
      </c>
      <c r="H318">
        <v>99999</v>
      </c>
      <c r="I318" t="s">
        <v>30</v>
      </c>
      <c r="J318" t="s">
        <v>44</v>
      </c>
      <c r="K318" t="s">
        <v>45</v>
      </c>
      <c r="L318" s="2">
        <v>41979</v>
      </c>
      <c r="M318" t="s">
        <v>46</v>
      </c>
      <c r="N318" t="s">
        <v>47</v>
      </c>
      <c r="O318" t="s">
        <v>41</v>
      </c>
      <c r="P318" t="s">
        <v>42</v>
      </c>
      <c r="Q318" t="s">
        <v>43</v>
      </c>
      <c r="R318">
        <v>99999</v>
      </c>
      <c r="S318" t="s">
        <v>30</v>
      </c>
      <c r="T318" t="s">
        <v>48</v>
      </c>
      <c r="U318" t="s">
        <v>38</v>
      </c>
      <c r="V318" t="s">
        <v>39</v>
      </c>
      <c r="W318">
        <v>3.5</v>
      </c>
      <c r="X318">
        <v>70</v>
      </c>
      <c r="Y318" s="4">
        <v>245</v>
      </c>
      <c r="Z318" s="3">
        <v>24.009999999999998</v>
      </c>
    </row>
    <row r="319" spans="1:26" hidden="1" x14ac:dyDescent="0.35">
      <c r="A319">
        <v>1373</v>
      </c>
      <c r="B319" s="2">
        <v>41985</v>
      </c>
      <c r="C319">
        <v>12</v>
      </c>
      <c r="D319" t="s">
        <v>51</v>
      </c>
      <c r="E319" t="s">
        <v>52</v>
      </c>
      <c r="F319" t="s">
        <v>28</v>
      </c>
      <c r="G319" t="s">
        <v>29</v>
      </c>
      <c r="H319">
        <v>99999</v>
      </c>
      <c r="I319" t="s">
        <v>30</v>
      </c>
      <c r="J319" t="s">
        <v>31</v>
      </c>
      <c r="K319" t="s">
        <v>32</v>
      </c>
      <c r="L319" s="2">
        <v>41987</v>
      </c>
      <c r="M319" t="s">
        <v>33</v>
      </c>
      <c r="N319" t="s">
        <v>53</v>
      </c>
      <c r="O319" t="s">
        <v>52</v>
      </c>
      <c r="P319" t="s">
        <v>28</v>
      </c>
      <c r="Q319" t="s">
        <v>29</v>
      </c>
      <c r="R319">
        <v>99999</v>
      </c>
      <c r="S319" t="s">
        <v>30</v>
      </c>
      <c r="T319" t="s">
        <v>48</v>
      </c>
      <c r="U319" t="s">
        <v>54</v>
      </c>
      <c r="V319" t="s">
        <v>37</v>
      </c>
      <c r="W319">
        <v>18</v>
      </c>
      <c r="X319">
        <v>57</v>
      </c>
      <c r="Y319" s="4">
        <v>1026</v>
      </c>
      <c r="Z319" s="3">
        <v>102.60000000000001</v>
      </c>
    </row>
    <row r="320" spans="1:26" hidden="1" x14ac:dyDescent="0.35">
      <c r="A320">
        <v>1374</v>
      </c>
      <c r="B320" s="2">
        <v>41985</v>
      </c>
      <c r="C320">
        <v>12</v>
      </c>
      <c r="D320" t="s">
        <v>51</v>
      </c>
      <c r="E320" t="s">
        <v>52</v>
      </c>
      <c r="F320" t="s">
        <v>28</v>
      </c>
      <c r="G320" t="s">
        <v>29</v>
      </c>
      <c r="H320">
        <v>99999</v>
      </c>
      <c r="I320" t="s">
        <v>30</v>
      </c>
      <c r="J320" t="s">
        <v>31</v>
      </c>
      <c r="K320" t="s">
        <v>32</v>
      </c>
      <c r="L320" s="2">
        <v>41987</v>
      </c>
      <c r="M320" t="s">
        <v>33</v>
      </c>
      <c r="N320" t="s">
        <v>53</v>
      </c>
      <c r="O320" t="s">
        <v>52</v>
      </c>
      <c r="P320" t="s">
        <v>28</v>
      </c>
      <c r="Q320" t="s">
        <v>29</v>
      </c>
      <c r="R320">
        <v>99999</v>
      </c>
      <c r="S320" t="s">
        <v>30</v>
      </c>
      <c r="T320" t="s">
        <v>48</v>
      </c>
      <c r="U320" t="s">
        <v>55</v>
      </c>
      <c r="V320" t="s">
        <v>37</v>
      </c>
      <c r="W320">
        <v>46</v>
      </c>
      <c r="X320">
        <v>83</v>
      </c>
      <c r="Y320" s="4">
        <v>3818</v>
      </c>
      <c r="Z320" s="3">
        <v>374.16399999999999</v>
      </c>
    </row>
    <row r="321" spans="1:26" hidden="1" x14ac:dyDescent="0.35">
      <c r="A321">
        <v>1375</v>
      </c>
      <c r="B321" s="2">
        <v>41981</v>
      </c>
      <c r="C321">
        <v>8</v>
      </c>
      <c r="D321" t="s">
        <v>56</v>
      </c>
      <c r="E321" t="s">
        <v>57</v>
      </c>
      <c r="F321" t="s">
        <v>58</v>
      </c>
      <c r="G321" t="s">
        <v>59</v>
      </c>
      <c r="H321">
        <v>99999</v>
      </c>
      <c r="I321" t="s">
        <v>30</v>
      </c>
      <c r="J321" t="s">
        <v>60</v>
      </c>
      <c r="K321" t="s">
        <v>61</v>
      </c>
      <c r="L321" s="2">
        <v>41983</v>
      </c>
      <c r="M321" t="s">
        <v>62</v>
      </c>
      <c r="N321" t="s">
        <v>63</v>
      </c>
      <c r="O321" t="s">
        <v>57</v>
      </c>
      <c r="P321" t="s">
        <v>58</v>
      </c>
      <c r="Q321" t="s">
        <v>59</v>
      </c>
      <c r="R321">
        <v>99999</v>
      </c>
      <c r="S321" t="s">
        <v>30</v>
      </c>
      <c r="T321" t="s">
        <v>48</v>
      </c>
      <c r="U321" t="s">
        <v>64</v>
      </c>
      <c r="V321" t="s">
        <v>65</v>
      </c>
      <c r="W321">
        <v>9.1999999999999993</v>
      </c>
      <c r="X321">
        <v>76</v>
      </c>
      <c r="Y321" s="4">
        <v>699.19999999999993</v>
      </c>
      <c r="Z321" s="3">
        <v>67.123199999999997</v>
      </c>
    </row>
    <row r="322" spans="1:26" hidden="1" x14ac:dyDescent="0.35">
      <c r="A322">
        <v>1376</v>
      </c>
      <c r="B322" s="2">
        <v>41977</v>
      </c>
      <c r="C322">
        <v>4</v>
      </c>
      <c r="D322" t="s">
        <v>40</v>
      </c>
      <c r="E322" t="s">
        <v>41</v>
      </c>
      <c r="F322" t="s">
        <v>42</v>
      </c>
      <c r="G322" t="s">
        <v>43</v>
      </c>
      <c r="H322">
        <v>99999</v>
      </c>
      <c r="I322" t="s">
        <v>30</v>
      </c>
      <c r="J322" t="s">
        <v>44</v>
      </c>
      <c r="K322" t="s">
        <v>45</v>
      </c>
      <c r="L322">
        <v>41979</v>
      </c>
      <c r="M322" t="s">
        <v>62</v>
      </c>
      <c r="N322" t="s">
        <v>47</v>
      </c>
      <c r="O322" t="s">
        <v>41</v>
      </c>
      <c r="P322" t="s">
        <v>42</v>
      </c>
      <c r="Q322" t="s">
        <v>43</v>
      </c>
      <c r="R322">
        <v>99999</v>
      </c>
      <c r="S322" t="s">
        <v>30</v>
      </c>
      <c r="T322" t="s">
        <v>35</v>
      </c>
      <c r="U322" t="s">
        <v>64</v>
      </c>
      <c r="V322" t="s">
        <v>65</v>
      </c>
      <c r="W322">
        <v>9.1999999999999993</v>
      </c>
      <c r="X322">
        <v>80</v>
      </c>
      <c r="Y322" s="4">
        <v>736</v>
      </c>
      <c r="Z322" s="3">
        <v>72.864000000000004</v>
      </c>
    </row>
    <row r="323" spans="1:26" hidden="1" x14ac:dyDescent="0.35">
      <c r="A323">
        <v>1377</v>
      </c>
      <c r="B323" s="2">
        <v>42002</v>
      </c>
      <c r="C323">
        <v>29</v>
      </c>
      <c r="D323" t="s">
        <v>66</v>
      </c>
      <c r="E323" t="s">
        <v>67</v>
      </c>
      <c r="F323" t="s">
        <v>68</v>
      </c>
      <c r="G323" t="s">
        <v>69</v>
      </c>
      <c r="H323">
        <v>99999</v>
      </c>
      <c r="I323" t="s">
        <v>30</v>
      </c>
      <c r="J323" t="s">
        <v>70</v>
      </c>
      <c r="K323" t="s">
        <v>32</v>
      </c>
      <c r="L323">
        <v>42004</v>
      </c>
      <c r="M323" t="s">
        <v>33</v>
      </c>
      <c r="N323" t="s">
        <v>71</v>
      </c>
      <c r="O323" t="s">
        <v>67</v>
      </c>
      <c r="P323" t="s">
        <v>68</v>
      </c>
      <c r="Q323" t="s">
        <v>69</v>
      </c>
      <c r="R323">
        <v>99999</v>
      </c>
      <c r="S323" t="s">
        <v>30</v>
      </c>
      <c r="T323" t="s">
        <v>35</v>
      </c>
      <c r="U323" t="s">
        <v>72</v>
      </c>
      <c r="V323" t="s">
        <v>73</v>
      </c>
      <c r="W323">
        <v>12.75</v>
      </c>
      <c r="X323">
        <v>47</v>
      </c>
      <c r="Y323" s="4">
        <v>599.25</v>
      </c>
      <c r="Z323" s="3">
        <v>59.325750000000006</v>
      </c>
    </row>
    <row r="324" spans="1:26" hidden="1" x14ac:dyDescent="0.35">
      <c r="A324">
        <v>1378</v>
      </c>
      <c r="B324" s="2">
        <v>41976</v>
      </c>
      <c r="C324">
        <v>3</v>
      </c>
      <c r="D324" t="s">
        <v>74</v>
      </c>
      <c r="E324" t="s">
        <v>75</v>
      </c>
      <c r="F324" t="s">
        <v>76</v>
      </c>
      <c r="G324" t="s">
        <v>77</v>
      </c>
      <c r="H324">
        <v>99999</v>
      </c>
      <c r="I324" t="s">
        <v>30</v>
      </c>
      <c r="J324" t="s">
        <v>31</v>
      </c>
      <c r="K324" t="s">
        <v>32</v>
      </c>
      <c r="L324">
        <v>41978</v>
      </c>
      <c r="M324" t="s">
        <v>33</v>
      </c>
      <c r="N324" t="s">
        <v>78</v>
      </c>
      <c r="O324" t="s">
        <v>75</v>
      </c>
      <c r="P324" t="s">
        <v>76</v>
      </c>
      <c r="Q324" t="s">
        <v>77</v>
      </c>
      <c r="R324">
        <v>99999</v>
      </c>
      <c r="S324" t="s">
        <v>30</v>
      </c>
      <c r="T324" t="s">
        <v>79</v>
      </c>
      <c r="U324" t="s">
        <v>80</v>
      </c>
      <c r="V324" t="s">
        <v>81</v>
      </c>
      <c r="W324">
        <v>9.65</v>
      </c>
      <c r="X324">
        <v>96</v>
      </c>
      <c r="Y324" s="4">
        <v>926.40000000000009</v>
      </c>
      <c r="Z324" s="3">
        <v>94.492800000000017</v>
      </c>
    </row>
    <row r="325" spans="1:26" hidden="1" x14ac:dyDescent="0.35">
      <c r="A325">
        <v>1379</v>
      </c>
      <c r="B325" s="2">
        <v>41979</v>
      </c>
      <c r="C325">
        <v>6</v>
      </c>
      <c r="D325" t="s">
        <v>82</v>
      </c>
      <c r="E325" t="s">
        <v>83</v>
      </c>
      <c r="F325" t="s">
        <v>84</v>
      </c>
      <c r="G325" t="s">
        <v>85</v>
      </c>
      <c r="H325">
        <v>99999</v>
      </c>
      <c r="I325" t="s">
        <v>30</v>
      </c>
      <c r="J325" t="s">
        <v>86</v>
      </c>
      <c r="K325" t="s">
        <v>61</v>
      </c>
      <c r="L325">
        <v>41981</v>
      </c>
      <c r="M325" t="s">
        <v>33</v>
      </c>
      <c r="N325" t="s">
        <v>87</v>
      </c>
      <c r="O325" t="s">
        <v>83</v>
      </c>
      <c r="P325" t="s">
        <v>84</v>
      </c>
      <c r="Q325" t="s">
        <v>85</v>
      </c>
      <c r="R325">
        <v>99999</v>
      </c>
      <c r="S325" t="s">
        <v>30</v>
      </c>
      <c r="T325" t="s">
        <v>48</v>
      </c>
      <c r="U325" t="s">
        <v>88</v>
      </c>
      <c r="V325" t="s">
        <v>89</v>
      </c>
      <c r="W325">
        <v>40</v>
      </c>
      <c r="X325">
        <v>32</v>
      </c>
      <c r="Y325" s="4">
        <v>1280</v>
      </c>
      <c r="Z325" s="3">
        <v>134.4</v>
      </c>
    </row>
    <row r="326" spans="1:26" hidden="1" x14ac:dyDescent="0.35">
      <c r="A326">
        <v>1380</v>
      </c>
      <c r="B326" s="2">
        <v>42001</v>
      </c>
      <c r="C326">
        <v>28</v>
      </c>
      <c r="D326" t="s">
        <v>90</v>
      </c>
      <c r="E326" t="s">
        <v>91</v>
      </c>
      <c r="F326" t="s">
        <v>92</v>
      </c>
      <c r="G326" t="s">
        <v>93</v>
      </c>
      <c r="H326">
        <v>99999</v>
      </c>
      <c r="I326" t="s">
        <v>30</v>
      </c>
      <c r="J326" t="s">
        <v>94</v>
      </c>
      <c r="K326" t="s">
        <v>95</v>
      </c>
      <c r="L326" s="2">
        <v>42003</v>
      </c>
      <c r="M326" t="s">
        <v>62</v>
      </c>
      <c r="N326" t="s">
        <v>96</v>
      </c>
      <c r="O326" t="s">
        <v>91</v>
      </c>
      <c r="P326" t="s">
        <v>92</v>
      </c>
      <c r="Q326" t="s">
        <v>93</v>
      </c>
      <c r="R326">
        <v>99999</v>
      </c>
      <c r="S326" t="s">
        <v>30</v>
      </c>
      <c r="T326" t="s">
        <v>35</v>
      </c>
      <c r="U326" t="s">
        <v>55</v>
      </c>
      <c r="V326" t="s">
        <v>37</v>
      </c>
      <c r="W326">
        <v>46</v>
      </c>
      <c r="X326">
        <v>16</v>
      </c>
      <c r="Y326" s="4">
        <v>736</v>
      </c>
      <c r="Z326" s="3">
        <v>73.600000000000009</v>
      </c>
    </row>
    <row r="327" spans="1:26" hidden="1" x14ac:dyDescent="0.35">
      <c r="A327">
        <v>1381</v>
      </c>
      <c r="B327" s="2">
        <v>41981</v>
      </c>
      <c r="C327">
        <v>8</v>
      </c>
      <c r="D327" t="s">
        <v>56</v>
      </c>
      <c r="E327" t="s">
        <v>57</v>
      </c>
      <c r="F327" t="s">
        <v>58</v>
      </c>
      <c r="G327" t="s">
        <v>59</v>
      </c>
      <c r="H327">
        <v>99999</v>
      </c>
      <c r="I327" t="s">
        <v>30</v>
      </c>
      <c r="J327" t="s">
        <v>60</v>
      </c>
      <c r="K327" t="s">
        <v>61</v>
      </c>
      <c r="L327" s="2">
        <v>41983</v>
      </c>
      <c r="M327" t="s">
        <v>62</v>
      </c>
      <c r="N327" t="s">
        <v>63</v>
      </c>
      <c r="O327" t="s">
        <v>57</v>
      </c>
      <c r="P327" t="s">
        <v>58</v>
      </c>
      <c r="Q327" t="s">
        <v>59</v>
      </c>
      <c r="R327">
        <v>99999</v>
      </c>
      <c r="S327" t="s">
        <v>30</v>
      </c>
      <c r="T327" t="s">
        <v>35</v>
      </c>
      <c r="U327" t="s">
        <v>72</v>
      </c>
      <c r="V327" t="s">
        <v>73</v>
      </c>
      <c r="W327">
        <v>12.75</v>
      </c>
      <c r="X327">
        <v>41</v>
      </c>
      <c r="Y327" s="4">
        <v>522.75</v>
      </c>
      <c r="Z327" s="3">
        <v>51.229500000000002</v>
      </c>
    </row>
    <row r="328" spans="1:26" hidden="1" x14ac:dyDescent="0.35">
      <c r="A328">
        <v>1382</v>
      </c>
      <c r="B328" s="2">
        <v>41983</v>
      </c>
      <c r="C328">
        <v>10</v>
      </c>
      <c r="D328" t="s">
        <v>97</v>
      </c>
      <c r="E328" t="s">
        <v>98</v>
      </c>
      <c r="F328" t="s">
        <v>99</v>
      </c>
      <c r="G328" t="s">
        <v>100</v>
      </c>
      <c r="H328">
        <v>99999</v>
      </c>
      <c r="I328" t="s">
        <v>30</v>
      </c>
      <c r="J328" t="s">
        <v>101</v>
      </c>
      <c r="K328" t="s">
        <v>45</v>
      </c>
      <c r="L328" s="2">
        <v>41985</v>
      </c>
      <c r="M328" t="s">
        <v>33</v>
      </c>
      <c r="N328" t="s">
        <v>102</v>
      </c>
      <c r="O328" t="s">
        <v>98</v>
      </c>
      <c r="P328" t="s">
        <v>99</v>
      </c>
      <c r="Q328" t="s">
        <v>100</v>
      </c>
      <c r="R328">
        <v>99999</v>
      </c>
      <c r="S328" t="s">
        <v>30</v>
      </c>
      <c r="T328" t="s">
        <v>48</v>
      </c>
      <c r="U328" t="s">
        <v>103</v>
      </c>
      <c r="V328" t="s">
        <v>37</v>
      </c>
      <c r="W328">
        <v>2.99</v>
      </c>
      <c r="X328">
        <v>41</v>
      </c>
      <c r="Y328" s="4">
        <v>122.59</v>
      </c>
      <c r="Z328" s="3">
        <v>12.871950000000002</v>
      </c>
    </row>
    <row r="329" spans="1:26" hidden="1" x14ac:dyDescent="0.35">
      <c r="A329">
        <v>1383</v>
      </c>
      <c r="B329" s="2">
        <v>41980</v>
      </c>
      <c r="C329">
        <v>7</v>
      </c>
      <c r="D329" t="s">
        <v>104</v>
      </c>
      <c r="E329" t="s">
        <v>105</v>
      </c>
      <c r="F329" t="s">
        <v>106</v>
      </c>
      <c r="G329" t="s">
        <v>107</v>
      </c>
      <c r="H329">
        <v>99999</v>
      </c>
      <c r="I329" t="s">
        <v>30</v>
      </c>
      <c r="J329" t="s">
        <v>60</v>
      </c>
      <c r="K329" t="s">
        <v>61</v>
      </c>
      <c r="L329" s="2"/>
      <c r="N329" t="s">
        <v>108</v>
      </c>
      <c r="O329" t="s">
        <v>105</v>
      </c>
      <c r="P329" t="s">
        <v>106</v>
      </c>
      <c r="Q329" t="s">
        <v>107</v>
      </c>
      <c r="R329">
        <v>99999</v>
      </c>
      <c r="S329" t="s">
        <v>30</v>
      </c>
      <c r="U329" t="s">
        <v>55</v>
      </c>
      <c r="V329" t="s">
        <v>37</v>
      </c>
      <c r="W329">
        <v>46</v>
      </c>
      <c r="X329">
        <v>41</v>
      </c>
      <c r="Y329" s="4">
        <v>1886</v>
      </c>
      <c r="Z329" s="3">
        <v>194.25800000000004</v>
      </c>
    </row>
    <row r="330" spans="1:26" hidden="1" x14ac:dyDescent="0.35">
      <c r="A330">
        <v>1384</v>
      </c>
      <c r="B330" s="2">
        <v>41983</v>
      </c>
      <c r="C330">
        <v>10</v>
      </c>
      <c r="D330" t="s">
        <v>97</v>
      </c>
      <c r="E330" t="s">
        <v>98</v>
      </c>
      <c r="F330" t="s">
        <v>99</v>
      </c>
      <c r="G330" t="s">
        <v>100</v>
      </c>
      <c r="H330">
        <v>99999</v>
      </c>
      <c r="I330" t="s">
        <v>30</v>
      </c>
      <c r="J330" t="s">
        <v>101</v>
      </c>
      <c r="K330" t="s">
        <v>45</v>
      </c>
      <c r="L330" s="2">
        <v>41985</v>
      </c>
      <c r="M330" t="s">
        <v>46</v>
      </c>
      <c r="N330" t="s">
        <v>102</v>
      </c>
      <c r="O330" t="s">
        <v>98</v>
      </c>
      <c r="P330" t="s">
        <v>99</v>
      </c>
      <c r="Q330" t="s">
        <v>100</v>
      </c>
      <c r="R330">
        <v>99999</v>
      </c>
      <c r="S330" t="s">
        <v>30</v>
      </c>
      <c r="U330" t="s">
        <v>109</v>
      </c>
      <c r="V330" t="s">
        <v>110</v>
      </c>
      <c r="W330" s="3">
        <v>25</v>
      </c>
      <c r="X330">
        <v>94</v>
      </c>
      <c r="Y330" s="4">
        <v>2350</v>
      </c>
      <c r="Z330" s="3">
        <v>235</v>
      </c>
    </row>
    <row r="331" spans="1:26" hidden="1" x14ac:dyDescent="0.35">
      <c r="A331">
        <v>1385</v>
      </c>
      <c r="B331" s="2">
        <v>41983</v>
      </c>
      <c r="C331">
        <v>10</v>
      </c>
      <c r="D331" t="s">
        <v>97</v>
      </c>
      <c r="E331" t="s">
        <v>98</v>
      </c>
      <c r="F331" t="s">
        <v>99</v>
      </c>
      <c r="G331" t="s">
        <v>100</v>
      </c>
      <c r="H331">
        <v>99999</v>
      </c>
      <c r="I331" t="s">
        <v>30</v>
      </c>
      <c r="J331" t="s">
        <v>101</v>
      </c>
      <c r="K331" t="s">
        <v>45</v>
      </c>
      <c r="L331" s="2">
        <v>41985</v>
      </c>
      <c r="M331" t="s">
        <v>46</v>
      </c>
      <c r="N331" t="s">
        <v>102</v>
      </c>
      <c r="O331" t="s">
        <v>98</v>
      </c>
      <c r="P331" t="s">
        <v>99</v>
      </c>
      <c r="Q331" t="s">
        <v>100</v>
      </c>
      <c r="R331">
        <v>99999</v>
      </c>
      <c r="S331" t="s">
        <v>30</v>
      </c>
      <c r="U331" t="s">
        <v>111</v>
      </c>
      <c r="V331" t="s">
        <v>112</v>
      </c>
      <c r="W331" s="3">
        <v>22</v>
      </c>
      <c r="X331">
        <v>20</v>
      </c>
      <c r="Y331" s="4">
        <v>440</v>
      </c>
      <c r="Z331" s="3">
        <v>46.2</v>
      </c>
    </row>
    <row r="332" spans="1:26" hidden="1" x14ac:dyDescent="0.35">
      <c r="A332">
        <v>1386</v>
      </c>
      <c r="B332" s="2">
        <v>41983</v>
      </c>
      <c r="C332">
        <v>10</v>
      </c>
      <c r="D332" t="s">
        <v>97</v>
      </c>
      <c r="E332" t="s">
        <v>98</v>
      </c>
      <c r="F332" t="s">
        <v>99</v>
      </c>
      <c r="G332" t="s">
        <v>100</v>
      </c>
      <c r="H332">
        <v>99999</v>
      </c>
      <c r="I332" t="s">
        <v>30</v>
      </c>
      <c r="J332" t="s">
        <v>101</v>
      </c>
      <c r="K332" t="s">
        <v>45</v>
      </c>
      <c r="L332">
        <v>41985</v>
      </c>
      <c r="M332" t="s">
        <v>46</v>
      </c>
      <c r="N332" t="s">
        <v>102</v>
      </c>
      <c r="O332" t="s">
        <v>98</v>
      </c>
      <c r="P332" t="s">
        <v>99</v>
      </c>
      <c r="Q332" t="s">
        <v>100</v>
      </c>
      <c r="R332">
        <v>99999</v>
      </c>
      <c r="S332" t="s">
        <v>30</v>
      </c>
      <c r="U332" t="s">
        <v>64</v>
      </c>
      <c r="V332" t="s">
        <v>65</v>
      </c>
      <c r="W332" s="3">
        <v>9.1999999999999993</v>
      </c>
      <c r="X332">
        <v>13</v>
      </c>
      <c r="Y332" s="4">
        <v>119.6</v>
      </c>
      <c r="Z332" s="3">
        <v>12.438400000000001</v>
      </c>
    </row>
    <row r="333" spans="1:26" hidden="1" x14ac:dyDescent="0.35">
      <c r="A333">
        <v>1387</v>
      </c>
      <c r="B333" s="2">
        <v>41984</v>
      </c>
      <c r="C333">
        <v>11</v>
      </c>
      <c r="D333" t="s">
        <v>113</v>
      </c>
      <c r="E333" t="s">
        <v>114</v>
      </c>
      <c r="F333" t="s">
        <v>115</v>
      </c>
      <c r="G333" t="s">
        <v>116</v>
      </c>
      <c r="H333">
        <v>99999</v>
      </c>
      <c r="I333" t="s">
        <v>30</v>
      </c>
      <c r="J333" t="s">
        <v>94</v>
      </c>
      <c r="K333" t="s">
        <v>95</v>
      </c>
      <c r="M333" t="s">
        <v>62</v>
      </c>
      <c r="N333" t="s">
        <v>117</v>
      </c>
      <c r="O333" t="s">
        <v>114</v>
      </c>
      <c r="P333" t="s">
        <v>115</v>
      </c>
      <c r="Q333" t="s">
        <v>116</v>
      </c>
      <c r="R333">
        <v>99999</v>
      </c>
      <c r="S333" t="s">
        <v>30</v>
      </c>
      <c r="U333" t="s">
        <v>38</v>
      </c>
      <c r="V333" t="s">
        <v>39</v>
      </c>
      <c r="W333" s="3">
        <v>3.5</v>
      </c>
      <c r="X333">
        <v>74</v>
      </c>
      <c r="Y333" s="4">
        <v>259</v>
      </c>
      <c r="Z333" s="3">
        <v>26.936000000000003</v>
      </c>
    </row>
    <row r="334" spans="1:26" hidden="1" x14ac:dyDescent="0.35">
      <c r="A334">
        <v>1388</v>
      </c>
      <c r="B334" s="2">
        <v>41984</v>
      </c>
      <c r="C334">
        <v>11</v>
      </c>
      <c r="D334" t="s">
        <v>113</v>
      </c>
      <c r="E334" t="s">
        <v>114</v>
      </c>
      <c r="F334" t="s">
        <v>115</v>
      </c>
      <c r="G334" t="s">
        <v>116</v>
      </c>
      <c r="H334">
        <v>99999</v>
      </c>
      <c r="I334" t="s">
        <v>30</v>
      </c>
      <c r="J334" t="s">
        <v>94</v>
      </c>
      <c r="K334" t="s">
        <v>95</v>
      </c>
      <c r="M334" t="s">
        <v>62</v>
      </c>
      <c r="N334" t="s">
        <v>117</v>
      </c>
      <c r="O334" t="s">
        <v>114</v>
      </c>
      <c r="P334" t="s">
        <v>115</v>
      </c>
      <c r="Q334" t="s">
        <v>116</v>
      </c>
      <c r="R334">
        <v>99999</v>
      </c>
      <c r="S334" t="s">
        <v>30</v>
      </c>
      <c r="U334" t="s">
        <v>103</v>
      </c>
      <c r="V334" t="s">
        <v>37</v>
      </c>
      <c r="W334" s="3">
        <v>2.99</v>
      </c>
      <c r="X334">
        <v>53</v>
      </c>
      <c r="Y334" s="4">
        <v>158.47</v>
      </c>
      <c r="Z334" s="3">
        <v>16.005470000000003</v>
      </c>
    </row>
    <row r="335" spans="1:26" hidden="1" x14ac:dyDescent="0.35">
      <c r="A335">
        <v>1389</v>
      </c>
      <c r="B335" s="2">
        <v>41974</v>
      </c>
      <c r="C335">
        <v>1</v>
      </c>
      <c r="D335" t="s">
        <v>118</v>
      </c>
      <c r="E335" t="s">
        <v>119</v>
      </c>
      <c r="F335" t="s">
        <v>120</v>
      </c>
      <c r="G335" t="s">
        <v>121</v>
      </c>
      <c r="H335">
        <v>99999</v>
      </c>
      <c r="I335" t="s">
        <v>30</v>
      </c>
      <c r="J335" t="s">
        <v>60</v>
      </c>
      <c r="K335" t="s">
        <v>61</v>
      </c>
      <c r="N335" t="s">
        <v>122</v>
      </c>
      <c r="O335" t="s">
        <v>119</v>
      </c>
      <c r="P335" t="s">
        <v>120</v>
      </c>
      <c r="Q335" t="s">
        <v>121</v>
      </c>
      <c r="R335">
        <v>99999</v>
      </c>
      <c r="S335" t="s">
        <v>30</v>
      </c>
      <c r="U335" t="s">
        <v>54</v>
      </c>
      <c r="V335" t="s">
        <v>37</v>
      </c>
      <c r="W335" s="3">
        <v>18</v>
      </c>
      <c r="X335">
        <v>99</v>
      </c>
      <c r="Y335" s="4">
        <v>1782</v>
      </c>
      <c r="Z335" s="3">
        <v>174.63600000000002</v>
      </c>
    </row>
    <row r="336" spans="1:26" hidden="1" x14ac:dyDescent="0.35">
      <c r="A336">
        <v>1390</v>
      </c>
      <c r="B336" s="2">
        <v>41974</v>
      </c>
      <c r="C336">
        <v>1</v>
      </c>
      <c r="D336" t="s">
        <v>118</v>
      </c>
      <c r="E336" t="s">
        <v>119</v>
      </c>
      <c r="F336" t="s">
        <v>120</v>
      </c>
      <c r="G336" t="s">
        <v>121</v>
      </c>
      <c r="H336">
        <v>99999</v>
      </c>
      <c r="I336" t="s">
        <v>30</v>
      </c>
      <c r="J336" t="s">
        <v>60</v>
      </c>
      <c r="K336" t="s">
        <v>61</v>
      </c>
      <c r="N336" t="s">
        <v>122</v>
      </c>
      <c r="O336" t="s">
        <v>119</v>
      </c>
      <c r="P336" t="s">
        <v>120</v>
      </c>
      <c r="Q336" t="s">
        <v>121</v>
      </c>
      <c r="R336">
        <v>99999</v>
      </c>
      <c r="S336" t="s">
        <v>30</v>
      </c>
      <c r="U336" t="s">
        <v>55</v>
      </c>
      <c r="V336" t="s">
        <v>37</v>
      </c>
      <c r="W336" s="3">
        <v>46</v>
      </c>
      <c r="X336">
        <v>89</v>
      </c>
      <c r="Y336" s="4">
        <v>4094</v>
      </c>
      <c r="Z336" s="3">
        <v>388.93</v>
      </c>
    </row>
    <row r="337" spans="1:26" hidden="1" x14ac:dyDescent="0.35">
      <c r="A337">
        <v>1391</v>
      </c>
      <c r="B337" s="2">
        <v>41974</v>
      </c>
      <c r="C337">
        <v>1</v>
      </c>
      <c r="D337" t="s">
        <v>118</v>
      </c>
      <c r="E337" t="s">
        <v>119</v>
      </c>
      <c r="F337" t="s">
        <v>120</v>
      </c>
      <c r="G337" t="s">
        <v>121</v>
      </c>
      <c r="H337">
        <v>99999</v>
      </c>
      <c r="I337" t="s">
        <v>30</v>
      </c>
      <c r="J337" t="s">
        <v>60</v>
      </c>
      <c r="K337" t="s">
        <v>61</v>
      </c>
      <c r="L337" s="2"/>
      <c r="N337" t="s">
        <v>122</v>
      </c>
      <c r="O337" t="s">
        <v>119</v>
      </c>
      <c r="P337" t="s">
        <v>120</v>
      </c>
      <c r="Q337" t="s">
        <v>121</v>
      </c>
      <c r="R337">
        <v>99999</v>
      </c>
      <c r="S337" t="s">
        <v>30</v>
      </c>
      <c r="U337" t="s">
        <v>103</v>
      </c>
      <c r="V337" t="s">
        <v>37</v>
      </c>
      <c r="W337" s="3">
        <v>2.99</v>
      </c>
      <c r="X337">
        <v>64</v>
      </c>
      <c r="Y337" s="4">
        <v>191.36</v>
      </c>
      <c r="Z337" s="3">
        <v>19.518720000000002</v>
      </c>
    </row>
    <row r="338" spans="1:26" hidden="1" x14ac:dyDescent="0.35">
      <c r="A338">
        <v>1392</v>
      </c>
      <c r="B338" s="2">
        <v>42001</v>
      </c>
      <c r="C338">
        <v>28</v>
      </c>
      <c r="D338" t="s">
        <v>90</v>
      </c>
      <c r="E338" t="s">
        <v>91</v>
      </c>
      <c r="F338" t="s">
        <v>92</v>
      </c>
      <c r="G338" t="s">
        <v>93</v>
      </c>
      <c r="H338">
        <v>99999</v>
      </c>
      <c r="I338" t="s">
        <v>30</v>
      </c>
      <c r="J338" t="s">
        <v>94</v>
      </c>
      <c r="K338" t="s">
        <v>95</v>
      </c>
      <c r="L338" s="2">
        <v>42003</v>
      </c>
      <c r="M338" t="s">
        <v>62</v>
      </c>
      <c r="N338" t="s">
        <v>96</v>
      </c>
      <c r="O338" t="s">
        <v>91</v>
      </c>
      <c r="P338" t="s">
        <v>92</v>
      </c>
      <c r="Q338" t="s">
        <v>93</v>
      </c>
      <c r="R338">
        <v>99999</v>
      </c>
      <c r="S338" t="s">
        <v>30</v>
      </c>
      <c r="T338" t="s">
        <v>48</v>
      </c>
      <c r="U338" t="s">
        <v>80</v>
      </c>
      <c r="V338" t="s">
        <v>81</v>
      </c>
      <c r="W338" s="3">
        <v>9.65</v>
      </c>
      <c r="X338">
        <v>98</v>
      </c>
      <c r="Y338" s="4">
        <v>945.7</v>
      </c>
      <c r="Z338" s="3">
        <v>96.461400000000012</v>
      </c>
    </row>
    <row r="339" spans="1:26" hidden="1" x14ac:dyDescent="0.35">
      <c r="A339">
        <v>1393</v>
      </c>
      <c r="B339" s="2">
        <v>42001</v>
      </c>
      <c r="C339">
        <v>28</v>
      </c>
      <c r="D339" t="s">
        <v>90</v>
      </c>
      <c r="E339" t="s">
        <v>91</v>
      </c>
      <c r="F339" t="s">
        <v>92</v>
      </c>
      <c r="G339" t="s">
        <v>93</v>
      </c>
      <c r="H339">
        <v>99999</v>
      </c>
      <c r="I339" t="s">
        <v>30</v>
      </c>
      <c r="J339" t="s">
        <v>94</v>
      </c>
      <c r="K339" t="s">
        <v>95</v>
      </c>
      <c r="L339" s="2">
        <v>42003</v>
      </c>
      <c r="M339" t="s">
        <v>62</v>
      </c>
      <c r="N339" t="s">
        <v>96</v>
      </c>
      <c r="O339" t="s">
        <v>91</v>
      </c>
      <c r="P339" t="s">
        <v>92</v>
      </c>
      <c r="Q339" t="s">
        <v>93</v>
      </c>
      <c r="R339">
        <v>99999</v>
      </c>
      <c r="S339" t="s">
        <v>30</v>
      </c>
      <c r="T339" t="s">
        <v>48</v>
      </c>
      <c r="U339" t="s">
        <v>123</v>
      </c>
      <c r="V339" t="s">
        <v>124</v>
      </c>
      <c r="W339" s="3">
        <v>18.399999999999999</v>
      </c>
      <c r="X339">
        <v>86</v>
      </c>
      <c r="Y339" s="4">
        <v>1582.3999999999999</v>
      </c>
      <c r="Z339" s="3">
        <v>155.0752</v>
      </c>
    </row>
    <row r="340" spans="1:26" hidden="1" x14ac:dyDescent="0.35">
      <c r="A340">
        <v>1394</v>
      </c>
      <c r="B340" s="2">
        <v>41982</v>
      </c>
      <c r="C340">
        <v>9</v>
      </c>
      <c r="D340" t="s">
        <v>125</v>
      </c>
      <c r="E340" t="s">
        <v>126</v>
      </c>
      <c r="F340" t="s">
        <v>127</v>
      </c>
      <c r="G340" t="s">
        <v>128</v>
      </c>
      <c r="H340">
        <v>99999</v>
      </c>
      <c r="I340" t="s">
        <v>30</v>
      </c>
      <c r="J340" t="s">
        <v>129</v>
      </c>
      <c r="K340" t="s">
        <v>32</v>
      </c>
      <c r="L340" s="2">
        <v>41984</v>
      </c>
      <c r="M340" t="s">
        <v>46</v>
      </c>
      <c r="N340" t="s">
        <v>130</v>
      </c>
      <c r="O340" t="s">
        <v>126</v>
      </c>
      <c r="P340" t="s">
        <v>127</v>
      </c>
      <c r="Q340" t="s">
        <v>128</v>
      </c>
      <c r="R340">
        <v>99999</v>
      </c>
      <c r="S340" t="s">
        <v>30</v>
      </c>
      <c r="T340" t="s">
        <v>35</v>
      </c>
      <c r="U340" t="s">
        <v>131</v>
      </c>
      <c r="V340" t="s">
        <v>132</v>
      </c>
      <c r="W340" s="3">
        <v>19.5</v>
      </c>
      <c r="X340">
        <v>20</v>
      </c>
      <c r="Y340" s="4">
        <v>390</v>
      </c>
      <c r="Z340" s="3">
        <v>40.950000000000003</v>
      </c>
    </row>
    <row r="341" spans="1:26" hidden="1" x14ac:dyDescent="0.35">
      <c r="A341">
        <v>1395</v>
      </c>
      <c r="B341" s="2">
        <v>41982</v>
      </c>
      <c r="C341">
        <v>9</v>
      </c>
      <c r="D341" t="s">
        <v>125</v>
      </c>
      <c r="E341" t="s">
        <v>126</v>
      </c>
      <c r="F341" t="s">
        <v>127</v>
      </c>
      <c r="G341" t="s">
        <v>128</v>
      </c>
      <c r="H341">
        <v>99999</v>
      </c>
      <c r="I341" t="s">
        <v>30</v>
      </c>
      <c r="J341" t="s">
        <v>129</v>
      </c>
      <c r="K341" t="s">
        <v>32</v>
      </c>
      <c r="L341" s="2">
        <v>41984</v>
      </c>
      <c r="M341" t="s">
        <v>46</v>
      </c>
      <c r="N341" t="s">
        <v>130</v>
      </c>
      <c r="O341" t="s">
        <v>126</v>
      </c>
      <c r="P341" t="s">
        <v>127</v>
      </c>
      <c r="Q341" t="s">
        <v>128</v>
      </c>
      <c r="R341">
        <v>99999</v>
      </c>
      <c r="S341" t="s">
        <v>30</v>
      </c>
      <c r="T341" t="s">
        <v>35</v>
      </c>
      <c r="U341" t="s">
        <v>133</v>
      </c>
      <c r="V341" t="s">
        <v>134</v>
      </c>
      <c r="W341" s="3">
        <v>34.799999999999997</v>
      </c>
      <c r="X341">
        <v>69</v>
      </c>
      <c r="Y341" s="4">
        <v>2401.1999999999998</v>
      </c>
      <c r="Z341" s="3">
        <v>240.12</v>
      </c>
    </row>
    <row r="342" spans="1:26" hidden="1" x14ac:dyDescent="0.35">
      <c r="A342">
        <v>1396</v>
      </c>
      <c r="B342" s="2">
        <v>41979</v>
      </c>
      <c r="C342">
        <v>6</v>
      </c>
      <c r="D342" t="s">
        <v>82</v>
      </c>
      <c r="E342" t="s">
        <v>83</v>
      </c>
      <c r="F342" t="s">
        <v>84</v>
      </c>
      <c r="G342" t="s">
        <v>85</v>
      </c>
      <c r="H342">
        <v>99999</v>
      </c>
      <c r="I342" t="s">
        <v>30</v>
      </c>
      <c r="J342" t="s">
        <v>86</v>
      </c>
      <c r="K342" t="s">
        <v>61</v>
      </c>
      <c r="L342" s="2">
        <v>41981</v>
      </c>
      <c r="M342" t="s">
        <v>33</v>
      </c>
      <c r="N342" t="s">
        <v>87</v>
      </c>
      <c r="O342" t="s">
        <v>83</v>
      </c>
      <c r="P342" t="s">
        <v>84</v>
      </c>
      <c r="Q342" t="s">
        <v>85</v>
      </c>
      <c r="R342">
        <v>99999</v>
      </c>
      <c r="S342" t="s">
        <v>30</v>
      </c>
      <c r="T342" t="s">
        <v>48</v>
      </c>
      <c r="U342" t="s">
        <v>36</v>
      </c>
      <c r="V342" t="s">
        <v>37</v>
      </c>
      <c r="W342" s="3">
        <v>14</v>
      </c>
      <c r="X342">
        <v>68</v>
      </c>
      <c r="Y342" s="4">
        <v>952</v>
      </c>
      <c r="Z342" s="3">
        <v>91.391999999999996</v>
      </c>
    </row>
    <row r="343" spans="1:26" hidden="1" x14ac:dyDescent="0.35">
      <c r="A343">
        <v>1397</v>
      </c>
      <c r="B343" s="2">
        <v>41981</v>
      </c>
      <c r="C343">
        <v>8</v>
      </c>
      <c r="D343" t="s">
        <v>56</v>
      </c>
      <c r="E343" t="s">
        <v>57</v>
      </c>
      <c r="F343" t="s">
        <v>58</v>
      </c>
      <c r="G343" t="s">
        <v>59</v>
      </c>
      <c r="H343">
        <v>99999</v>
      </c>
      <c r="I343" t="s">
        <v>30</v>
      </c>
      <c r="J343" t="s">
        <v>60</v>
      </c>
      <c r="K343" t="s">
        <v>61</v>
      </c>
      <c r="L343" s="2">
        <v>41983</v>
      </c>
      <c r="M343" t="s">
        <v>33</v>
      </c>
      <c r="N343" t="s">
        <v>63</v>
      </c>
      <c r="O343" t="s">
        <v>57</v>
      </c>
      <c r="P343" t="s">
        <v>58</v>
      </c>
      <c r="Q343" t="s">
        <v>59</v>
      </c>
      <c r="R343">
        <v>99999</v>
      </c>
      <c r="S343" t="s">
        <v>30</v>
      </c>
      <c r="T343" t="s">
        <v>35</v>
      </c>
      <c r="U343" t="s">
        <v>88</v>
      </c>
      <c r="V343" t="s">
        <v>89</v>
      </c>
      <c r="W343" s="3">
        <v>40</v>
      </c>
      <c r="X343">
        <v>52</v>
      </c>
      <c r="Y343" s="4">
        <v>2080</v>
      </c>
      <c r="Z343" s="3">
        <v>203.84</v>
      </c>
    </row>
    <row r="344" spans="1:26" hidden="1" x14ac:dyDescent="0.35">
      <c r="A344">
        <v>1398</v>
      </c>
      <c r="B344" s="2">
        <v>41981</v>
      </c>
      <c r="C344">
        <v>8</v>
      </c>
      <c r="D344" t="s">
        <v>56</v>
      </c>
      <c r="E344" t="s">
        <v>57</v>
      </c>
      <c r="F344" t="s">
        <v>58</v>
      </c>
      <c r="G344" t="s">
        <v>59</v>
      </c>
      <c r="H344">
        <v>99999</v>
      </c>
      <c r="I344" t="s">
        <v>30</v>
      </c>
      <c r="J344" t="s">
        <v>60</v>
      </c>
      <c r="K344" t="s">
        <v>61</v>
      </c>
      <c r="L344" s="2">
        <v>41983</v>
      </c>
      <c r="M344" t="s">
        <v>33</v>
      </c>
      <c r="N344" t="s">
        <v>63</v>
      </c>
      <c r="O344" t="s">
        <v>57</v>
      </c>
      <c r="P344" t="s">
        <v>58</v>
      </c>
      <c r="Q344" t="s">
        <v>59</v>
      </c>
      <c r="R344">
        <v>99999</v>
      </c>
      <c r="S344" t="s">
        <v>30</v>
      </c>
      <c r="T344" t="s">
        <v>35</v>
      </c>
      <c r="U344" t="s">
        <v>64</v>
      </c>
      <c r="V344" t="s">
        <v>65</v>
      </c>
      <c r="W344" s="3">
        <v>9.1999999999999993</v>
      </c>
      <c r="X344">
        <v>40</v>
      </c>
      <c r="Y344" s="4">
        <v>368</v>
      </c>
      <c r="Z344" s="3">
        <v>38.640000000000008</v>
      </c>
    </row>
    <row r="345" spans="1:26" hidden="1" x14ac:dyDescent="0.35">
      <c r="A345">
        <v>1399</v>
      </c>
      <c r="B345" s="2">
        <v>41998</v>
      </c>
      <c r="C345">
        <v>25</v>
      </c>
      <c r="D345" t="s">
        <v>137</v>
      </c>
      <c r="E345" t="s">
        <v>138</v>
      </c>
      <c r="F345" t="s">
        <v>99</v>
      </c>
      <c r="G345" t="s">
        <v>100</v>
      </c>
      <c r="H345">
        <v>99999</v>
      </c>
      <c r="I345" t="s">
        <v>30</v>
      </c>
      <c r="J345" t="s">
        <v>101</v>
      </c>
      <c r="K345" t="s">
        <v>45</v>
      </c>
      <c r="L345" s="2">
        <v>42000</v>
      </c>
      <c r="M345" t="s">
        <v>46</v>
      </c>
      <c r="N345" t="s">
        <v>139</v>
      </c>
      <c r="O345" t="s">
        <v>138</v>
      </c>
      <c r="P345" t="s">
        <v>99</v>
      </c>
      <c r="Q345" t="s">
        <v>100</v>
      </c>
      <c r="R345">
        <v>99999</v>
      </c>
      <c r="S345" t="s">
        <v>30</v>
      </c>
      <c r="T345" t="s">
        <v>79</v>
      </c>
      <c r="U345" t="s">
        <v>146</v>
      </c>
      <c r="V345" t="s">
        <v>65</v>
      </c>
      <c r="W345" s="3">
        <v>10</v>
      </c>
      <c r="X345">
        <v>100</v>
      </c>
      <c r="Y345" s="4">
        <v>1000</v>
      </c>
      <c r="Z345" s="3">
        <v>98</v>
      </c>
    </row>
    <row r="346" spans="1:26" hidden="1" x14ac:dyDescent="0.35">
      <c r="A346">
        <v>1400</v>
      </c>
      <c r="B346" s="2">
        <v>41999</v>
      </c>
      <c r="C346">
        <v>26</v>
      </c>
      <c r="D346" t="s">
        <v>140</v>
      </c>
      <c r="E346" t="s">
        <v>141</v>
      </c>
      <c r="F346" t="s">
        <v>115</v>
      </c>
      <c r="G346" t="s">
        <v>116</v>
      </c>
      <c r="H346">
        <v>99999</v>
      </c>
      <c r="I346" t="s">
        <v>30</v>
      </c>
      <c r="J346" t="s">
        <v>94</v>
      </c>
      <c r="K346" t="s">
        <v>95</v>
      </c>
      <c r="L346" s="2">
        <v>42001</v>
      </c>
      <c r="M346" t="s">
        <v>62</v>
      </c>
      <c r="N346" t="s">
        <v>142</v>
      </c>
      <c r="O346" t="s">
        <v>141</v>
      </c>
      <c r="P346" t="s">
        <v>115</v>
      </c>
      <c r="Q346" t="s">
        <v>116</v>
      </c>
      <c r="R346">
        <v>99999</v>
      </c>
      <c r="S346" t="s">
        <v>30</v>
      </c>
      <c r="T346" t="s">
        <v>48</v>
      </c>
      <c r="U346" t="s">
        <v>147</v>
      </c>
      <c r="V346" t="s">
        <v>148</v>
      </c>
      <c r="W346" s="3">
        <v>21.35</v>
      </c>
      <c r="X346">
        <v>88</v>
      </c>
      <c r="Y346" s="4">
        <v>1878.8000000000002</v>
      </c>
      <c r="Z346" s="3">
        <v>184.12240000000003</v>
      </c>
    </row>
    <row r="347" spans="1:26" hidden="1" x14ac:dyDescent="0.35">
      <c r="A347">
        <v>1401</v>
      </c>
      <c r="B347" s="2">
        <v>41999</v>
      </c>
      <c r="C347">
        <v>26</v>
      </c>
      <c r="D347" t="s">
        <v>140</v>
      </c>
      <c r="E347" t="s">
        <v>141</v>
      </c>
      <c r="F347" t="s">
        <v>115</v>
      </c>
      <c r="G347" t="s">
        <v>116</v>
      </c>
      <c r="H347">
        <v>99999</v>
      </c>
      <c r="I347" t="s">
        <v>30</v>
      </c>
      <c r="J347" t="s">
        <v>94</v>
      </c>
      <c r="K347" t="s">
        <v>95</v>
      </c>
      <c r="L347" s="2">
        <v>42001</v>
      </c>
      <c r="M347" t="s">
        <v>62</v>
      </c>
      <c r="N347" t="s">
        <v>142</v>
      </c>
      <c r="O347" t="s">
        <v>141</v>
      </c>
      <c r="P347" t="s">
        <v>115</v>
      </c>
      <c r="Q347" t="s">
        <v>116</v>
      </c>
      <c r="R347">
        <v>99999</v>
      </c>
      <c r="S347" t="s">
        <v>30</v>
      </c>
      <c r="T347" t="s">
        <v>48</v>
      </c>
      <c r="U347" t="s">
        <v>80</v>
      </c>
      <c r="V347" t="s">
        <v>81</v>
      </c>
      <c r="W347" s="3">
        <v>9.65</v>
      </c>
      <c r="X347">
        <v>46</v>
      </c>
      <c r="Y347" s="4">
        <v>443.90000000000003</v>
      </c>
      <c r="Z347" s="3">
        <v>42.614400000000003</v>
      </c>
    </row>
    <row r="348" spans="1:26" hidden="1" x14ac:dyDescent="0.35">
      <c r="A348">
        <v>1402</v>
      </c>
      <c r="B348" s="2">
        <v>41999</v>
      </c>
      <c r="C348">
        <v>26</v>
      </c>
      <c r="D348" t="s">
        <v>140</v>
      </c>
      <c r="E348" t="s">
        <v>141</v>
      </c>
      <c r="F348" t="s">
        <v>115</v>
      </c>
      <c r="G348" t="s">
        <v>116</v>
      </c>
      <c r="H348">
        <v>99999</v>
      </c>
      <c r="I348" t="s">
        <v>30</v>
      </c>
      <c r="J348" t="s">
        <v>94</v>
      </c>
      <c r="K348" t="s">
        <v>95</v>
      </c>
      <c r="L348" s="2">
        <v>42001</v>
      </c>
      <c r="M348" t="s">
        <v>62</v>
      </c>
      <c r="N348" t="s">
        <v>142</v>
      </c>
      <c r="O348" t="s">
        <v>141</v>
      </c>
      <c r="P348" t="s">
        <v>115</v>
      </c>
      <c r="Q348" t="s">
        <v>116</v>
      </c>
      <c r="R348">
        <v>99999</v>
      </c>
      <c r="S348" t="s">
        <v>30</v>
      </c>
      <c r="T348" t="s">
        <v>48</v>
      </c>
      <c r="U348" t="s">
        <v>123</v>
      </c>
      <c r="V348" t="s">
        <v>124</v>
      </c>
      <c r="W348" s="3">
        <v>18.399999999999999</v>
      </c>
      <c r="X348">
        <v>93</v>
      </c>
      <c r="Y348" s="4">
        <v>1711.1999999999998</v>
      </c>
      <c r="Z348" s="3">
        <v>167.69759999999999</v>
      </c>
    </row>
    <row r="349" spans="1:26" hidden="1" x14ac:dyDescent="0.35">
      <c r="A349">
        <v>1403</v>
      </c>
      <c r="B349" s="2">
        <v>42002</v>
      </c>
      <c r="C349">
        <v>29</v>
      </c>
      <c r="D349" t="s">
        <v>66</v>
      </c>
      <c r="E349" t="s">
        <v>67</v>
      </c>
      <c r="F349" t="s">
        <v>68</v>
      </c>
      <c r="G349" t="s">
        <v>69</v>
      </c>
      <c r="H349">
        <v>99999</v>
      </c>
      <c r="I349" t="s">
        <v>30</v>
      </c>
      <c r="J349" t="s">
        <v>70</v>
      </c>
      <c r="K349" t="s">
        <v>32</v>
      </c>
      <c r="L349" s="2">
        <v>42004</v>
      </c>
      <c r="M349" t="s">
        <v>33</v>
      </c>
      <c r="N349" t="s">
        <v>71</v>
      </c>
      <c r="O349" t="s">
        <v>67</v>
      </c>
      <c r="P349" t="s">
        <v>68</v>
      </c>
      <c r="Q349" t="s">
        <v>69</v>
      </c>
      <c r="R349">
        <v>99999</v>
      </c>
      <c r="S349" t="s">
        <v>30</v>
      </c>
      <c r="T349" t="s">
        <v>35</v>
      </c>
      <c r="U349" t="s">
        <v>36</v>
      </c>
      <c r="V349" t="s">
        <v>37</v>
      </c>
      <c r="W349" s="3">
        <v>14</v>
      </c>
      <c r="X349">
        <v>96</v>
      </c>
      <c r="Y349" s="4">
        <v>1344</v>
      </c>
      <c r="Z349" s="3">
        <v>141.12</v>
      </c>
    </row>
    <row r="350" spans="1:26" hidden="1" x14ac:dyDescent="0.35">
      <c r="A350">
        <v>1404</v>
      </c>
      <c r="B350" s="2">
        <v>41979</v>
      </c>
      <c r="C350">
        <v>6</v>
      </c>
      <c r="D350" t="s">
        <v>82</v>
      </c>
      <c r="E350" t="s">
        <v>83</v>
      </c>
      <c r="F350" t="s">
        <v>84</v>
      </c>
      <c r="G350" t="s">
        <v>85</v>
      </c>
      <c r="H350">
        <v>99999</v>
      </c>
      <c r="I350" t="s">
        <v>30</v>
      </c>
      <c r="J350" t="s">
        <v>86</v>
      </c>
      <c r="K350" t="s">
        <v>61</v>
      </c>
      <c r="L350" s="2">
        <v>41981</v>
      </c>
      <c r="M350" t="s">
        <v>62</v>
      </c>
      <c r="N350" t="s">
        <v>87</v>
      </c>
      <c r="O350" t="s">
        <v>83</v>
      </c>
      <c r="P350" t="s">
        <v>84</v>
      </c>
      <c r="Q350" t="s">
        <v>85</v>
      </c>
      <c r="R350">
        <v>99999</v>
      </c>
      <c r="S350" t="s">
        <v>30</v>
      </c>
      <c r="T350" t="s">
        <v>35</v>
      </c>
      <c r="U350" t="s">
        <v>72</v>
      </c>
      <c r="V350" t="s">
        <v>73</v>
      </c>
      <c r="W350">
        <v>12.75</v>
      </c>
      <c r="X350">
        <v>12</v>
      </c>
      <c r="Y350" s="4">
        <v>153</v>
      </c>
      <c r="Z350" s="3">
        <v>16.065000000000001</v>
      </c>
    </row>
    <row r="351" spans="1:26" hidden="1" x14ac:dyDescent="0.35">
      <c r="A351">
        <v>1406</v>
      </c>
      <c r="B351" s="2">
        <v>41977</v>
      </c>
      <c r="C351">
        <v>4</v>
      </c>
      <c r="D351" t="s">
        <v>40</v>
      </c>
      <c r="E351" t="s">
        <v>41</v>
      </c>
      <c r="F351" t="s">
        <v>42</v>
      </c>
      <c r="G351" t="s">
        <v>43</v>
      </c>
      <c r="H351">
        <v>99999</v>
      </c>
      <c r="I351" t="s">
        <v>30</v>
      </c>
      <c r="J351" t="s">
        <v>44</v>
      </c>
      <c r="K351" t="s">
        <v>45</v>
      </c>
      <c r="L351" s="2">
        <v>41979</v>
      </c>
      <c r="M351" t="s">
        <v>46</v>
      </c>
      <c r="N351" t="s">
        <v>47</v>
      </c>
      <c r="O351" t="s">
        <v>41</v>
      </c>
      <c r="P351" t="s">
        <v>42</v>
      </c>
      <c r="Q351" t="s">
        <v>43</v>
      </c>
      <c r="R351">
        <v>99999</v>
      </c>
      <c r="S351" t="s">
        <v>30</v>
      </c>
      <c r="T351" t="s">
        <v>48</v>
      </c>
      <c r="U351" t="s">
        <v>149</v>
      </c>
      <c r="V351" t="s">
        <v>110</v>
      </c>
      <c r="W351">
        <v>81</v>
      </c>
      <c r="X351">
        <v>38</v>
      </c>
      <c r="Y351" s="4">
        <v>3078</v>
      </c>
      <c r="Z351" s="3">
        <v>292.41000000000003</v>
      </c>
    </row>
    <row r="352" spans="1:26" hidden="1" x14ac:dyDescent="0.35">
      <c r="A352">
        <v>1407</v>
      </c>
      <c r="B352" s="2">
        <v>41977</v>
      </c>
      <c r="C352">
        <v>4</v>
      </c>
      <c r="D352" t="s">
        <v>40</v>
      </c>
      <c r="E352" t="s">
        <v>41</v>
      </c>
      <c r="F352" t="s">
        <v>42</v>
      </c>
      <c r="G352" t="s">
        <v>43</v>
      </c>
      <c r="H352">
        <v>99999</v>
      </c>
      <c r="I352" t="s">
        <v>30</v>
      </c>
      <c r="J352" t="s">
        <v>44</v>
      </c>
      <c r="K352" t="s">
        <v>45</v>
      </c>
      <c r="L352" s="2">
        <v>41979</v>
      </c>
      <c r="M352" t="s">
        <v>46</v>
      </c>
      <c r="N352" t="s">
        <v>47</v>
      </c>
      <c r="O352" t="s">
        <v>41</v>
      </c>
      <c r="P352" t="s">
        <v>42</v>
      </c>
      <c r="Q352" t="s">
        <v>43</v>
      </c>
      <c r="R352">
        <v>99999</v>
      </c>
      <c r="S352" t="s">
        <v>30</v>
      </c>
      <c r="T352" t="s">
        <v>48</v>
      </c>
      <c r="U352" t="s">
        <v>150</v>
      </c>
      <c r="V352" t="s">
        <v>151</v>
      </c>
      <c r="W352">
        <v>7</v>
      </c>
      <c r="X352">
        <v>42</v>
      </c>
      <c r="Y352" s="4">
        <v>294</v>
      </c>
      <c r="Z352" s="3">
        <v>29.106000000000002</v>
      </c>
    </row>
    <row r="353" spans="1:26" hidden="1" x14ac:dyDescent="0.35">
      <c r="A353">
        <v>1409</v>
      </c>
      <c r="B353" s="2">
        <v>41981</v>
      </c>
      <c r="C353">
        <v>8</v>
      </c>
      <c r="D353" t="s">
        <v>56</v>
      </c>
      <c r="E353" t="s">
        <v>57</v>
      </c>
      <c r="F353" t="s">
        <v>58</v>
      </c>
      <c r="G353" t="s">
        <v>59</v>
      </c>
      <c r="H353">
        <v>99999</v>
      </c>
      <c r="I353" t="s">
        <v>30</v>
      </c>
      <c r="J353" t="s">
        <v>60</v>
      </c>
      <c r="K353" t="s">
        <v>61</v>
      </c>
      <c r="L353" s="2">
        <v>41983</v>
      </c>
      <c r="M353" t="s">
        <v>62</v>
      </c>
      <c r="N353" t="s">
        <v>63</v>
      </c>
      <c r="O353" t="s">
        <v>57</v>
      </c>
      <c r="P353" t="s">
        <v>58</v>
      </c>
      <c r="Q353" t="s">
        <v>59</v>
      </c>
      <c r="R353">
        <v>99999</v>
      </c>
      <c r="S353" t="s">
        <v>30</v>
      </c>
      <c r="T353" t="s">
        <v>48</v>
      </c>
      <c r="U353" t="s">
        <v>133</v>
      </c>
      <c r="V353" t="s">
        <v>134</v>
      </c>
      <c r="W353">
        <v>34.799999999999997</v>
      </c>
      <c r="X353">
        <v>100</v>
      </c>
      <c r="Y353" s="4">
        <v>3479.9999999999995</v>
      </c>
      <c r="Z353" s="3">
        <v>344.52</v>
      </c>
    </row>
    <row r="354" spans="1:26" hidden="1" x14ac:dyDescent="0.35">
      <c r="A354">
        <v>1412</v>
      </c>
      <c r="B354" s="2">
        <v>41976</v>
      </c>
      <c r="C354">
        <v>3</v>
      </c>
      <c r="D354" t="s">
        <v>74</v>
      </c>
      <c r="E354" t="s">
        <v>75</v>
      </c>
      <c r="F354" t="s">
        <v>76</v>
      </c>
      <c r="G354" t="s">
        <v>77</v>
      </c>
      <c r="H354">
        <v>99999</v>
      </c>
      <c r="I354" t="s">
        <v>30</v>
      </c>
      <c r="J354" t="s">
        <v>31</v>
      </c>
      <c r="K354" t="s">
        <v>32</v>
      </c>
      <c r="L354" s="2">
        <v>41978</v>
      </c>
      <c r="M354" t="s">
        <v>33</v>
      </c>
      <c r="N354" t="s">
        <v>78</v>
      </c>
      <c r="O354" t="s">
        <v>75</v>
      </c>
      <c r="P354" t="s">
        <v>76</v>
      </c>
      <c r="Q354" t="s">
        <v>77</v>
      </c>
      <c r="R354">
        <v>99999</v>
      </c>
      <c r="S354" t="s">
        <v>30</v>
      </c>
      <c r="T354" t="s">
        <v>79</v>
      </c>
      <c r="U354" t="s">
        <v>135</v>
      </c>
      <c r="V354" t="s">
        <v>112</v>
      </c>
      <c r="W354">
        <v>10</v>
      </c>
      <c r="X354">
        <v>89</v>
      </c>
      <c r="Y354" s="4">
        <v>890</v>
      </c>
      <c r="Z354" s="3">
        <v>87.22</v>
      </c>
    </row>
    <row r="355" spans="1:26" hidden="1" x14ac:dyDescent="0.35">
      <c r="A355">
        <v>1413</v>
      </c>
      <c r="B355" s="2">
        <v>41976</v>
      </c>
      <c r="C355">
        <v>3</v>
      </c>
      <c r="D355" t="s">
        <v>74</v>
      </c>
      <c r="E355" t="s">
        <v>75</v>
      </c>
      <c r="F355" t="s">
        <v>76</v>
      </c>
      <c r="G355" t="s">
        <v>77</v>
      </c>
      <c r="H355">
        <v>99999</v>
      </c>
      <c r="I355" t="s">
        <v>30</v>
      </c>
      <c r="J355" t="s">
        <v>31</v>
      </c>
      <c r="K355" t="s">
        <v>32</v>
      </c>
      <c r="L355" s="2">
        <v>41978</v>
      </c>
      <c r="M355" t="s">
        <v>33</v>
      </c>
      <c r="N355" t="s">
        <v>78</v>
      </c>
      <c r="O355" t="s">
        <v>75</v>
      </c>
      <c r="P355" t="s">
        <v>76</v>
      </c>
      <c r="Q355" t="s">
        <v>77</v>
      </c>
      <c r="R355">
        <v>99999</v>
      </c>
      <c r="S355" t="s">
        <v>30</v>
      </c>
      <c r="T355" t="s">
        <v>79</v>
      </c>
      <c r="U355" t="s">
        <v>88</v>
      </c>
      <c r="V355" t="s">
        <v>89</v>
      </c>
      <c r="W355">
        <v>40</v>
      </c>
      <c r="X355">
        <v>12</v>
      </c>
      <c r="Y355" s="4">
        <v>480</v>
      </c>
      <c r="Z355" s="3">
        <v>46.56</v>
      </c>
    </row>
    <row r="356" spans="1:26" hidden="1" x14ac:dyDescent="0.35">
      <c r="A356">
        <v>1417</v>
      </c>
      <c r="B356" s="2">
        <v>41983</v>
      </c>
      <c r="C356">
        <v>10</v>
      </c>
      <c r="D356" t="s">
        <v>97</v>
      </c>
      <c r="E356" t="s">
        <v>98</v>
      </c>
      <c r="F356" t="s">
        <v>99</v>
      </c>
      <c r="G356" t="s">
        <v>100</v>
      </c>
      <c r="H356">
        <v>99999</v>
      </c>
      <c r="I356" t="s">
        <v>30</v>
      </c>
      <c r="J356" t="s">
        <v>101</v>
      </c>
      <c r="K356" t="s">
        <v>45</v>
      </c>
      <c r="L356" s="2">
        <v>41985</v>
      </c>
      <c r="M356" t="s">
        <v>33</v>
      </c>
      <c r="N356" t="s">
        <v>102</v>
      </c>
      <c r="O356" t="s">
        <v>98</v>
      </c>
      <c r="P356" t="s">
        <v>99</v>
      </c>
      <c r="Q356" t="s">
        <v>100</v>
      </c>
      <c r="R356">
        <v>99999</v>
      </c>
      <c r="S356" t="s">
        <v>30</v>
      </c>
      <c r="T356" t="s">
        <v>48</v>
      </c>
      <c r="U356" t="s">
        <v>136</v>
      </c>
      <c r="V356" t="s">
        <v>39</v>
      </c>
      <c r="W356">
        <v>10</v>
      </c>
      <c r="X356">
        <v>97</v>
      </c>
      <c r="Y356" s="4">
        <v>970</v>
      </c>
      <c r="Z356" s="3">
        <v>100.88000000000001</v>
      </c>
    </row>
    <row r="357" spans="1:26" hidden="1" x14ac:dyDescent="0.35">
      <c r="A357">
        <v>1419</v>
      </c>
      <c r="B357" s="2">
        <v>41983</v>
      </c>
      <c r="C357">
        <v>10</v>
      </c>
      <c r="D357" t="s">
        <v>97</v>
      </c>
      <c r="E357" t="s">
        <v>98</v>
      </c>
      <c r="F357" t="s">
        <v>99</v>
      </c>
      <c r="G357" t="s">
        <v>100</v>
      </c>
      <c r="H357">
        <v>99999</v>
      </c>
      <c r="I357" t="s">
        <v>30</v>
      </c>
      <c r="J357" t="s">
        <v>101</v>
      </c>
      <c r="K357" t="s">
        <v>45</v>
      </c>
      <c r="L357" s="2"/>
      <c r="M357" t="s">
        <v>46</v>
      </c>
      <c r="N357" t="s">
        <v>102</v>
      </c>
      <c r="O357" t="s">
        <v>98</v>
      </c>
      <c r="P357" t="s">
        <v>99</v>
      </c>
      <c r="Q357" t="s">
        <v>100</v>
      </c>
      <c r="R357">
        <v>99999</v>
      </c>
      <c r="S357" t="s">
        <v>30</v>
      </c>
      <c r="U357" t="s">
        <v>38</v>
      </c>
      <c r="V357" t="s">
        <v>39</v>
      </c>
      <c r="W357">
        <v>3.5</v>
      </c>
      <c r="X357">
        <v>53</v>
      </c>
      <c r="Y357" s="4">
        <v>185.5</v>
      </c>
      <c r="Z357" s="3">
        <v>17.622499999999999</v>
      </c>
    </row>
    <row r="358" spans="1:26" hidden="1" x14ac:dyDescent="0.35">
      <c r="A358">
        <v>1420</v>
      </c>
      <c r="B358" s="2">
        <v>41984</v>
      </c>
      <c r="C358">
        <v>11</v>
      </c>
      <c r="D358" t="s">
        <v>113</v>
      </c>
      <c r="E358" t="s">
        <v>114</v>
      </c>
      <c r="F358" t="s">
        <v>115</v>
      </c>
      <c r="G358" t="s">
        <v>116</v>
      </c>
      <c r="H358">
        <v>99999</v>
      </c>
      <c r="I358" t="s">
        <v>30</v>
      </c>
      <c r="J358" t="s">
        <v>94</v>
      </c>
      <c r="K358" t="s">
        <v>95</v>
      </c>
      <c r="L358" s="2"/>
      <c r="M358" t="s">
        <v>62</v>
      </c>
      <c r="N358" t="s">
        <v>117</v>
      </c>
      <c r="O358" t="s">
        <v>114</v>
      </c>
      <c r="P358" t="s">
        <v>115</v>
      </c>
      <c r="Q358" t="s">
        <v>116</v>
      </c>
      <c r="R358">
        <v>99999</v>
      </c>
      <c r="S358" t="s">
        <v>30</v>
      </c>
      <c r="U358" t="s">
        <v>88</v>
      </c>
      <c r="V358" t="s">
        <v>89</v>
      </c>
      <c r="W358">
        <v>40</v>
      </c>
      <c r="X358">
        <v>61</v>
      </c>
      <c r="Y358" s="4">
        <v>2440</v>
      </c>
      <c r="Z358" s="3">
        <v>248.88</v>
      </c>
    </row>
    <row r="359" spans="1:26" hidden="1" x14ac:dyDescent="0.35">
      <c r="A359">
        <v>1421</v>
      </c>
      <c r="B359" s="2">
        <v>41974</v>
      </c>
      <c r="C359">
        <v>1</v>
      </c>
      <c r="D359" t="s">
        <v>118</v>
      </c>
      <c r="E359" t="s">
        <v>119</v>
      </c>
      <c r="F359" t="s">
        <v>120</v>
      </c>
      <c r="G359" t="s">
        <v>121</v>
      </c>
      <c r="H359">
        <v>99999</v>
      </c>
      <c r="I359" t="s">
        <v>30</v>
      </c>
      <c r="J359" t="s">
        <v>60</v>
      </c>
      <c r="K359" t="s">
        <v>61</v>
      </c>
      <c r="L359" s="2"/>
      <c r="M359" t="s">
        <v>62</v>
      </c>
      <c r="N359" t="s">
        <v>122</v>
      </c>
      <c r="O359" t="s">
        <v>119</v>
      </c>
      <c r="P359" t="s">
        <v>120</v>
      </c>
      <c r="Q359" t="s">
        <v>121</v>
      </c>
      <c r="R359">
        <v>99999</v>
      </c>
      <c r="S359" t="s">
        <v>30</v>
      </c>
      <c r="U359" t="s">
        <v>123</v>
      </c>
      <c r="V359" t="s">
        <v>124</v>
      </c>
      <c r="W359">
        <v>18.399999999999999</v>
      </c>
      <c r="X359">
        <v>45</v>
      </c>
      <c r="Y359" s="4">
        <v>827.99999999999989</v>
      </c>
      <c r="Z359" s="3">
        <v>81.143999999999991</v>
      </c>
    </row>
    <row r="360" spans="1:26" hidden="1" x14ac:dyDescent="0.35">
      <c r="A360">
        <v>1422</v>
      </c>
      <c r="B360" s="2">
        <v>42001</v>
      </c>
      <c r="C360">
        <v>28</v>
      </c>
      <c r="D360" t="s">
        <v>90</v>
      </c>
      <c r="E360" t="s">
        <v>91</v>
      </c>
      <c r="F360" t="s">
        <v>92</v>
      </c>
      <c r="G360" t="s">
        <v>93</v>
      </c>
      <c r="H360">
        <v>99999</v>
      </c>
      <c r="I360" t="s">
        <v>30</v>
      </c>
      <c r="J360" t="s">
        <v>94</v>
      </c>
      <c r="K360" t="s">
        <v>95</v>
      </c>
      <c r="L360" s="2">
        <v>42003</v>
      </c>
      <c r="M360" t="s">
        <v>62</v>
      </c>
      <c r="N360" t="s">
        <v>96</v>
      </c>
      <c r="O360" t="s">
        <v>91</v>
      </c>
      <c r="P360" t="s">
        <v>92</v>
      </c>
      <c r="Q360" t="s">
        <v>93</v>
      </c>
      <c r="R360">
        <v>99999</v>
      </c>
      <c r="S360" t="s">
        <v>30</v>
      </c>
      <c r="T360" t="s">
        <v>48</v>
      </c>
      <c r="U360" t="s">
        <v>55</v>
      </c>
      <c r="V360" t="s">
        <v>37</v>
      </c>
      <c r="W360">
        <v>46</v>
      </c>
      <c r="X360">
        <v>43</v>
      </c>
      <c r="Y360" s="4">
        <v>1978</v>
      </c>
      <c r="Z360" s="3">
        <v>197.8</v>
      </c>
    </row>
    <row r="361" spans="1:26" hidden="1" x14ac:dyDescent="0.35">
      <c r="A361">
        <v>1423</v>
      </c>
      <c r="B361" s="2">
        <v>41982</v>
      </c>
      <c r="C361">
        <v>9</v>
      </c>
      <c r="D361" t="s">
        <v>125</v>
      </c>
      <c r="E361" t="s">
        <v>126</v>
      </c>
      <c r="F361" t="s">
        <v>127</v>
      </c>
      <c r="G361" t="s">
        <v>128</v>
      </c>
      <c r="H361">
        <v>99999</v>
      </c>
      <c r="I361" t="s">
        <v>30</v>
      </c>
      <c r="J361" t="s">
        <v>129</v>
      </c>
      <c r="K361" t="s">
        <v>32</v>
      </c>
      <c r="L361" s="2">
        <v>41984</v>
      </c>
      <c r="M361" t="s">
        <v>46</v>
      </c>
      <c r="N361" t="s">
        <v>130</v>
      </c>
      <c r="O361" t="s">
        <v>126</v>
      </c>
      <c r="P361" t="s">
        <v>127</v>
      </c>
      <c r="Q361" t="s">
        <v>128</v>
      </c>
      <c r="R361">
        <v>99999</v>
      </c>
      <c r="S361" t="s">
        <v>30</v>
      </c>
      <c r="T361" t="s">
        <v>35</v>
      </c>
      <c r="U361" t="s">
        <v>80</v>
      </c>
      <c r="V361" t="s">
        <v>81</v>
      </c>
      <c r="W361">
        <v>9.65</v>
      </c>
      <c r="X361">
        <v>18</v>
      </c>
      <c r="Y361" s="4">
        <v>173.70000000000002</v>
      </c>
      <c r="Z361" s="3">
        <v>16.5015</v>
      </c>
    </row>
    <row r="362" spans="1:26" hidden="1" x14ac:dyDescent="0.35">
      <c r="A362">
        <v>1424</v>
      </c>
      <c r="B362" s="2">
        <v>41979</v>
      </c>
      <c r="C362">
        <v>6</v>
      </c>
      <c r="D362" t="s">
        <v>82</v>
      </c>
      <c r="E362" t="s">
        <v>83</v>
      </c>
      <c r="F362" t="s">
        <v>84</v>
      </c>
      <c r="G362" t="s">
        <v>85</v>
      </c>
      <c r="H362">
        <v>99999</v>
      </c>
      <c r="I362" t="s">
        <v>30</v>
      </c>
      <c r="J362" t="s">
        <v>86</v>
      </c>
      <c r="K362" t="s">
        <v>61</v>
      </c>
      <c r="L362" s="2">
        <v>41981</v>
      </c>
      <c r="M362" t="s">
        <v>33</v>
      </c>
      <c r="N362" t="s">
        <v>87</v>
      </c>
      <c r="O362" t="s">
        <v>83</v>
      </c>
      <c r="P362" t="s">
        <v>84</v>
      </c>
      <c r="Q362" t="s">
        <v>85</v>
      </c>
      <c r="R362">
        <v>99999</v>
      </c>
      <c r="S362" t="s">
        <v>30</v>
      </c>
      <c r="T362" t="s">
        <v>48</v>
      </c>
      <c r="U362" t="s">
        <v>72</v>
      </c>
      <c r="V362" t="s">
        <v>73</v>
      </c>
      <c r="W362">
        <v>12.75</v>
      </c>
      <c r="X362">
        <v>41</v>
      </c>
      <c r="Y362" s="4">
        <v>522.75</v>
      </c>
      <c r="Z362" s="3">
        <v>50.706750000000007</v>
      </c>
    </row>
    <row r="363" spans="1:26" hidden="1" x14ac:dyDescent="0.35">
      <c r="A363">
        <v>1425</v>
      </c>
      <c r="B363" s="2">
        <v>41981</v>
      </c>
      <c r="C363">
        <v>8</v>
      </c>
      <c r="D363" t="s">
        <v>56</v>
      </c>
      <c r="E363" t="s">
        <v>57</v>
      </c>
      <c r="F363" t="s">
        <v>58</v>
      </c>
      <c r="G363" t="s">
        <v>59</v>
      </c>
      <c r="H363">
        <v>99999</v>
      </c>
      <c r="I363" t="s">
        <v>30</v>
      </c>
      <c r="J363" t="s">
        <v>60</v>
      </c>
      <c r="K363" t="s">
        <v>61</v>
      </c>
      <c r="L363">
        <v>41983</v>
      </c>
      <c r="M363" t="s">
        <v>33</v>
      </c>
      <c r="N363" t="s">
        <v>63</v>
      </c>
      <c r="O363" t="s">
        <v>57</v>
      </c>
      <c r="P363" t="s">
        <v>58</v>
      </c>
      <c r="Q363" t="s">
        <v>59</v>
      </c>
      <c r="R363">
        <v>99999</v>
      </c>
      <c r="S363" t="s">
        <v>30</v>
      </c>
      <c r="T363" t="s">
        <v>35</v>
      </c>
      <c r="U363" t="s">
        <v>72</v>
      </c>
      <c r="V363" t="s">
        <v>73</v>
      </c>
      <c r="W363">
        <v>12.75</v>
      </c>
      <c r="X363">
        <v>19</v>
      </c>
      <c r="Y363" s="4">
        <v>242.25</v>
      </c>
      <c r="Z363" s="3">
        <v>23.982750000000003</v>
      </c>
    </row>
    <row r="364" spans="1:26" hidden="1" x14ac:dyDescent="0.35">
      <c r="A364">
        <v>1426</v>
      </c>
      <c r="B364" s="2">
        <v>41998</v>
      </c>
      <c r="C364">
        <v>25</v>
      </c>
      <c r="D364" t="s">
        <v>137</v>
      </c>
      <c r="E364" t="s">
        <v>138</v>
      </c>
      <c r="F364" t="s">
        <v>99</v>
      </c>
      <c r="G364" t="s">
        <v>100</v>
      </c>
      <c r="H364">
        <v>99999</v>
      </c>
      <c r="I364" t="s">
        <v>30</v>
      </c>
      <c r="J364" t="s">
        <v>101</v>
      </c>
      <c r="K364" t="s">
        <v>45</v>
      </c>
      <c r="L364">
        <v>42000</v>
      </c>
      <c r="M364" t="s">
        <v>46</v>
      </c>
      <c r="N364" t="s">
        <v>139</v>
      </c>
      <c r="O364" t="s">
        <v>138</v>
      </c>
      <c r="P364" t="s">
        <v>99</v>
      </c>
      <c r="Q364" t="s">
        <v>100</v>
      </c>
      <c r="R364">
        <v>99999</v>
      </c>
      <c r="S364" t="s">
        <v>30</v>
      </c>
      <c r="T364" t="s">
        <v>79</v>
      </c>
      <c r="U364" t="s">
        <v>111</v>
      </c>
      <c r="V364" t="s">
        <v>112</v>
      </c>
      <c r="W364">
        <v>22</v>
      </c>
      <c r="X364">
        <v>65</v>
      </c>
      <c r="Y364" s="4">
        <v>1430</v>
      </c>
      <c r="Z364" s="3">
        <v>138.71</v>
      </c>
    </row>
    <row r="365" spans="1:26" hidden="1" x14ac:dyDescent="0.35">
      <c r="A365">
        <v>1427</v>
      </c>
      <c r="B365" s="2">
        <v>41999</v>
      </c>
      <c r="C365">
        <v>26</v>
      </c>
      <c r="D365" t="s">
        <v>140</v>
      </c>
      <c r="E365" t="s">
        <v>141</v>
      </c>
      <c r="F365" t="s">
        <v>115</v>
      </c>
      <c r="G365" t="s">
        <v>116</v>
      </c>
      <c r="H365">
        <v>99999</v>
      </c>
      <c r="I365" t="s">
        <v>30</v>
      </c>
      <c r="J365" t="s">
        <v>94</v>
      </c>
      <c r="K365" t="s">
        <v>95</v>
      </c>
      <c r="L365">
        <v>42001</v>
      </c>
      <c r="M365" t="s">
        <v>62</v>
      </c>
      <c r="N365" t="s">
        <v>142</v>
      </c>
      <c r="O365" t="s">
        <v>141</v>
      </c>
      <c r="P365" t="s">
        <v>115</v>
      </c>
      <c r="Q365" t="s">
        <v>116</v>
      </c>
      <c r="R365">
        <v>99999</v>
      </c>
      <c r="S365" t="s">
        <v>30</v>
      </c>
      <c r="T365" t="s">
        <v>48</v>
      </c>
      <c r="U365" t="s">
        <v>109</v>
      </c>
      <c r="V365" t="s">
        <v>110</v>
      </c>
      <c r="W365">
        <v>25</v>
      </c>
      <c r="X365">
        <v>13</v>
      </c>
      <c r="Y365" s="4">
        <v>325</v>
      </c>
      <c r="Z365" s="3">
        <v>32.174999999999997</v>
      </c>
    </row>
    <row r="366" spans="1:26" hidden="1" x14ac:dyDescent="0.35">
      <c r="A366">
        <v>1428</v>
      </c>
      <c r="B366" s="2">
        <v>42002</v>
      </c>
      <c r="C366">
        <v>29</v>
      </c>
      <c r="D366" t="s">
        <v>66</v>
      </c>
      <c r="E366" t="s">
        <v>67</v>
      </c>
      <c r="F366" t="s">
        <v>68</v>
      </c>
      <c r="G366" t="s">
        <v>69</v>
      </c>
      <c r="H366">
        <v>99999</v>
      </c>
      <c r="I366" t="s">
        <v>30</v>
      </c>
      <c r="J366" t="s">
        <v>70</v>
      </c>
      <c r="K366" t="s">
        <v>32</v>
      </c>
      <c r="L366">
        <v>42004</v>
      </c>
      <c r="M366" t="s">
        <v>33</v>
      </c>
      <c r="N366" t="s">
        <v>71</v>
      </c>
      <c r="O366" t="s">
        <v>67</v>
      </c>
      <c r="P366" t="s">
        <v>68</v>
      </c>
      <c r="Q366" t="s">
        <v>69</v>
      </c>
      <c r="R366">
        <v>99999</v>
      </c>
      <c r="S366" t="s">
        <v>30</v>
      </c>
      <c r="T366" t="s">
        <v>35</v>
      </c>
      <c r="U366" t="s">
        <v>143</v>
      </c>
      <c r="V366" t="s">
        <v>144</v>
      </c>
      <c r="W366">
        <v>39</v>
      </c>
      <c r="X366">
        <v>54</v>
      </c>
      <c r="Y366" s="4">
        <v>2106</v>
      </c>
      <c r="Z366" s="3">
        <v>214.81200000000004</v>
      </c>
    </row>
    <row r="367" spans="1:26" hidden="1" x14ac:dyDescent="0.35">
      <c r="A367">
        <v>1429</v>
      </c>
      <c r="B367" s="2">
        <v>41979</v>
      </c>
      <c r="C367">
        <v>6</v>
      </c>
      <c r="D367" t="s">
        <v>82</v>
      </c>
      <c r="E367" t="s">
        <v>83</v>
      </c>
      <c r="F367" t="s">
        <v>84</v>
      </c>
      <c r="G367" t="s">
        <v>85</v>
      </c>
      <c r="H367">
        <v>99999</v>
      </c>
      <c r="I367" t="s">
        <v>30</v>
      </c>
      <c r="J367" t="s">
        <v>86</v>
      </c>
      <c r="K367" t="s">
        <v>61</v>
      </c>
      <c r="L367" s="2">
        <v>41981</v>
      </c>
      <c r="M367" t="s">
        <v>62</v>
      </c>
      <c r="N367" t="s">
        <v>87</v>
      </c>
      <c r="O367" t="s">
        <v>83</v>
      </c>
      <c r="P367" t="s">
        <v>84</v>
      </c>
      <c r="Q367" t="s">
        <v>85</v>
      </c>
      <c r="R367">
        <v>99999</v>
      </c>
      <c r="S367" t="s">
        <v>30</v>
      </c>
      <c r="T367" t="s">
        <v>35</v>
      </c>
      <c r="U367" t="s">
        <v>49</v>
      </c>
      <c r="V367" t="s">
        <v>39</v>
      </c>
      <c r="W367">
        <v>30</v>
      </c>
      <c r="X367">
        <v>33</v>
      </c>
      <c r="Y367" s="4">
        <v>990</v>
      </c>
      <c r="Z367" s="3">
        <v>95.039999999999992</v>
      </c>
    </row>
    <row r="368" spans="1:26" hidden="1" x14ac:dyDescent="0.35">
      <c r="A368">
        <v>1430</v>
      </c>
      <c r="B368" s="2">
        <v>41979</v>
      </c>
      <c r="C368">
        <v>6</v>
      </c>
      <c r="D368" t="s">
        <v>82</v>
      </c>
      <c r="E368" t="s">
        <v>83</v>
      </c>
      <c r="F368" t="s">
        <v>84</v>
      </c>
      <c r="G368" t="s">
        <v>85</v>
      </c>
      <c r="H368">
        <v>99999</v>
      </c>
      <c r="I368" t="s">
        <v>30</v>
      </c>
      <c r="J368" t="s">
        <v>86</v>
      </c>
      <c r="K368" t="s">
        <v>61</v>
      </c>
      <c r="L368" s="2">
        <v>41981</v>
      </c>
      <c r="M368" t="s">
        <v>62</v>
      </c>
      <c r="N368" t="s">
        <v>87</v>
      </c>
      <c r="O368" t="s">
        <v>83</v>
      </c>
      <c r="P368" t="s">
        <v>84</v>
      </c>
      <c r="Q368" t="s">
        <v>85</v>
      </c>
      <c r="R368">
        <v>99999</v>
      </c>
      <c r="S368" t="s">
        <v>30</v>
      </c>
      <c r="T368" t="s">
        <v>35</v>
      </c>
      <c r="U368" t="s">
        <v>50</v>
      </c>
      <c r="V368" t="s">
        <v>39</v>
      </c>
      <c r="W368">
        <v>53</v>
      </c>
      <c r="X368">
        <v>34</v>
      </c>
      <c r="Y368" s="4">
        <v>1802</v>
      </c>
      <c r="Z368" s="3">
        <v>185.60600000000002</v>
      </c>
    </row>
    <row r="369" spans="1:26" hidden="1" x14ac:dyDescent="0.35">
      <c r="A369">
        <v>1431</v>
      </c>
      <c r="B369" s="2">
        <v>41977</v>
      </c>
      <c r="C369">
        <v>4</v>
      </c>
      <c r="D369" t="s">
        <v>40</v>
      </c>
      <c r="E369" t="s">
        <v>41</v>
      </c>
      <c r="F369" t="s">
        <v>42</v>
      </c>
      <c r="G369" t="s">
        <v>43</v>
      </c>
      <c r="H369">
        <v>99999</v>
      </c>
      <c r="I369" t="s">
        <v>30</v>
      </c>
      <c r="J369" t="s">
        <v>44</v>
      </c>
      <c r="K369" t="s">
        <v>45</v>
      </c>
      <c r="L369" s="2"/>
      <c r="N369" t="s">
        <v>47</v>
      </c>
      <c r="O369" t="s">
        <v>41</v>
      </c>
      <c r="P369" t="s">
        <v>42</v>
      </c>
      <c r="Q369" t="s">
        <v>43</v>
      </c>
      <c r="R369">
        <v>99999</v>
      </c>
      <c r="S369" t="s">
        <v>30</v>
      </c>
      <c r="U369" t="s">
        <v>145</v>
      </c>
      <c r="V369" t="s">
        <v>132</v>
      </c>
      <c r="W369" s="3">
        <v>38</v>
      </c>
      <c r="X369">
        <v>59</v>
      </c>
      <c r="Y369" s="4">
        <v>2242</v>
      </c>
      <c r="Z369" s="3">
        <v>226.44200000000001</v>
      </c>
    </row>
    <row r="370" spans="1:26" hidden="1" x14ac:dyDescent="0.35">
      <c r="A370">
        <v>1432</v>
      </c>
      <c r="B370" s="2">
        <v>41976</v>
      </c>
      <c r="C370">
        <v>3</v>
      </c>
      <c r="D370" t="s">
        <v>74</v>
      </c>
      <c r="E370" t="s">
        <v>75</v>
      </c>
      <c r="F370" t="s">
        <v>76</v>
      </c>
      <c r="G370" t="s">
        <v>77</v>
      </c>
      <c r="H370">
        <v>99999</v>
      </c>
      <c r="I370" t="s">
        <v>30</v>
      </c>
      <c r="J370" t="s">
        <v>31</v>
      </c>
      <c r="K370" t="s">
        <v>32</v>
      </c>
      <c r="L370" s="2"/>
      <c r="N370" t="s">
        <v>78</v>
      </c>
      <c r="O370" t="s">
        <v>75</v>
      </c>
      <c r="P370" t="s">
        <v>76</v>
      </c>
      <c r="Q370" t="s">
        <v>77</v>
      </c>
      <c r="R370">
        <v>99999</v>
      </c>
      <c r="S370" t="s">
        <v>30</v>
      </c>
      <c r="U370" t="s">
        <v>103</v>
      </c>
      <c r="V370" t="s">
        <v>37</v>
      </c>
      <c r="W370" s="3">
        <v>2.99</v>
      </c>
      <c r="X370">
        <v>24</v>
      </c>
      <c r="Y370" s="4">
        <v>71.760000000000005</v>
      </c>
      <c r="Z370" s="3">
        <v>7.1042400000000008</v>
      </c>
    </row>
  </sheetData>
  <autoFilter ref="A1:Z370" xr:uid="{00000000-0009-0000-0000-000007000000}">
    <filterColumn colId="21">
      <filters>
        <filter val="Shipping Fee"/>
      </filters>
    </filterColumn>
  </autoFilter>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5DFB5-EFC8-4C29-9841-1AB348BCE46F}">
  <dimension ref="A3:B8"/>
  <sheetViews>
    <sheetView zoomScale="66" zoomScaleNormal="66" workbookViewId="0">
      <selection activeCell="M26" sqref="M26"/>
    </sheetView>
  </sheetViews>
  <sheetFormatPr defaultRowHeight="14.5" x14ac:dyDescent="0.35"/>
  <cols>
    <col min="1" max="1" width="13.90625" bestFit="1" customWidth="1"/>
    <col min="2" max="2" width="15" bestFit="1" customWidth="1"/>
    <col min="4" max="6" width="8.7265625" customWidth="1"/>
  </cols>
  <sheetData>
    <row r="3" spans="1:2" x14ac:dyDescent="0.35">
      <c r="A3" s="10" t="s">
        <v>167</v>
      </c>
      <c r="B3" t="s">
        <v>166</v>
      </c>
    </row>
    <row r="4" spans="1:2" x14ac:dyDescent="0.35">
      <c r="A4" s="11" t="s">
        <v>61</v>
      </c>
      <c r="B4" s="3">
        <v>141680.33999999997</v>
      </c>
    </row>
    <row r="5" spans="1:2" x14ac:dyDescent="0.35">
      <c r="A5" s="11" t="s">
        <v>45</v>
      </c>
      <c r="B5" s="3">
        <v>108275.51</v>
      </c>
    </row>
    <row r="6" spans="1:2" x14ac:dyDescent="0.35">
      <c r="A6" s="11" t="s">
        <v>95</v>
      </c>
      <c r="B6" s="3">
        <v>93858.329999999987</v>
      </c>
    </row>
    <row r="7" spans="1:2" x14ac:dyDescent="0.35">
      <c r="A7" s="11" t="s">
        <v>32</v>
      </c>
      <c r="B7" s="3">
        <v>91251.979999999981</v>
      </c>
    </row>
    <row r="8" spans="1:2" x14ac:dyDescent="0.35">
      <c r="A8" s="11" t="s">
        <v>168</v>
      </c>
      <c r="B8" s="3">
        <v>435066.15999999992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94E3D-64E9-48C4-8958-5ACC2B5954C3}">
  <dimension ref="A3:B14"/>
  <sheetViews>
    <sheetView zoomScale="66" zoomScaleNormal="66" workbookViewId="0">
      <selection activeCell="I22" sqref="I22"/>
    </sheetView>
  </sheetViews>
  <sheetFormatPr defaultRowHeight="14.5" x14ac:dyDescent="0.35"/>
  <cols>
    <col min="1" max="1" width="13.90625" bestFit="1" customWidth="1"/>
    <col min="2" max="2" width="15" bestFit="1" customWidth="1"/>
  </cols>
  <sheetData>
    <row r="3" spans="1:2" x14ac:dyDescent="0.35">
      <c r="A3" s="10" t="s">
        <v>167</v>
      </c>
      <c r="B3" t="s">
        <v>166</v>
      </c>
    </row>
    <row r="4" spans="1:2" x14ac:dyDescent="0.35">
      <c r="A4" s="11" t="s">
        <v>40</v>
      </c>
      <c r="B4" s="3">
        <v>67180.5</v>
      </c>
    </row>
    <row r="5" spans="1:2" x14ac:dyDescent="0.35">
      <c r="A5" s="11" t="s">
        <v>56</v>
      </c>
      <c r="B5" s="3">
        <v>50208.35</v>
      </c>
    </row>
    <row r="6" spans="1:2" x14ac:dyDescent="0.35">
      <c r="A6" s="11" t="s">
        <v>90</v>
      </c>
      <c r="B6" s="3">
        <v>43713</v>
      </c>
    </row>
    <row r="7" spans="1:2" x14ac:dyDescent="0.35">
      <c r="A7" s="11" t="s">
        <v>82</v>
      </c>
      <c r="B7" s="3">
        <v>37428</v>
      </c>
    </row>
    <row r="8" spans="1:2" x14ac:dyDescent="0.35">
      <c r="A8" s="11" t="s">
        <v>118</v>
      </c>
      <c r="B8" s="3">
        <v>36839.990000000005</v>
      </c>
    </row>
    <row r="9" spans="1:2" x14ac:dyDescent="0.35">
      <c r="A9" s="11" t="s">
        <v>125</v>
      </c>
      <c r="B9" s="3">
        <v>32530.6</v>
      </c>
    </row>
    <row r="10" spans="1:2" x14ac:dyDescent="0.35">
      <c r="A10" s="11" t="s">
        <v>97</v>
      </c>
      <c r="B10" s="3">
        <v>29133.009999999995</v>
      </c>
    </row>
    <row r="11" spans="1:2" x14ac:dyDescent="0.35">
      <c r="A11" s="11" t="s">
        <v>140</v>
      </c>
      <c r="B11" s="3">
        <v>28208.250000000007</v>
      </c>
    </row>
    <row r="12" spans="1:2" x14ac:dyDescent="0.35">
      <c r="A12" s="11" t="s">
        <v>74</v>
      </c>
      <c r="B12" s="3">
        <v>27005.38</v>
      </c>
    </row>
    <row r="13" spans="1:2" x14ac:dyDescent="0.35">
      <c r="A13" s="11" t="s">
        <v>113</v>
      </c>
      <c r="B13" s="3">
        <v>21937.08</v>
      </c>
    </row>
    <row r="14" spans="1:2" x14ac:dyDescent="0.35">
      <c r="A14" s="11" t="s">
        <v>168</v>
      </c>
      <c r="B14" s="3">
        <v>374184.16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C9585-3162-4A69-A9A9-04093FFB48DC}">
  <dimension ref="A3:B12"/>
  <sheetViews>
    <sheetView zoomScale="66" zoomScaleNormal="66" workbookViewId="0">
      <selection activeCell="B8" sqref="B8:B9"/>
    </sheetView>
  </sheetViews>
  <sheetFormatPr defaultRowHeight="14.5" x14ac:dyDescent="0.35"/>
  <cols>
    <col min="1" max="1" width="15.81640625" bestFit="1" customWidth="1"/>
    <col min="2" max="2" width="15" bestFit="1" customWidth="1"/>
  </cols>
  <sheetData>
    <row r="3" spans="1:2" x14ac:dyDescent="0.35">
      <c r="A3" s="10" t="s">
        <v>167</v>
      </c>
      <c r="B3" t="s">
        <v>166</v>
      </c>
    </row>
    <row r="4" spans="1:2" x14ac:dyDescent="0.35">
      <c r="A4" s="11" t="s">
        <v>60</v>
      </c>
      <c r="B4" s="3">
        <v>104252.33999999997</v>
      </c>
    </row>
    <row r="5" spans="1:2" x14ac:dyDescent="0.35">
      <c r="A5" s="11" t="s">
        <v>94</v>
      </c>
      <c r="B5" s="3">
        <v>93858.329999999987</v>
      </c>
    </row>
    <row r="6" spans="1:2" x14ac:dyDescent="0.35">
      <c r="A6" s="11" t="s">
        <v>44</v>
      </c>
      <c r="B6" s="3">
        <v>67180.5</v>
      </c>
    </row>
    <row r="7" spans="1:2" x14ac:dyDescent="0.35">
      <c r="A7" s="11" t="s">
        <v>31</v>
      </c>
      <c r="B7" s="3">
        <v>42370.880000000005</v>
      </c>
    </row>
    <row r="8" spans="1:2" x14ac:dyDescent="0.35">
      <c r="A8" s="11" t="s">
        <v>101</v>
      </c>
      <c r="B8" s="3">
        <v>41095.01</v>
      </c>
    </row>
    <row r="9" spans="1:2" x14ac:dyDescent="0.35">
      <c r="A9" s="11" t="s">
        <v>86</v>
      </c>
      <c r="B9" s="3">
        <v>37428</v>
      </c>
    </row>
    <row r="10" spans="1:2" x14ac:dyDescent="0.35">
      <c r="A10" s="11" t="s">
        <v>129</v>
      </c>
      <c r="B10" s="3">
        <v>32530.6</v>
      </c>
    </row>
    <row r="11" spans="1:2" x14ac:dyDescent="0.35">
      <c r="A11" s="11" t="s">
        <v>70</v>
      </c>
      <c r="B11" s="3">
        <v>16350.5</v>
      </c>
    </row>
    <row r="12" spans="1:2" x14ac:dyDescent="0.35">
      <c r="A12" s="11" t="s">
        <v>168</v>
      </c>
      <c r="B12" s="3">
        <v>435066.15999999992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65F75-AEDB-4F1A-A327-5236D44D2146}">
  <dimension ref="A3:I26"/>
  <sheetViews>
    <sheetView zoomScale="66" zoomScaleNormal="66" workbookViewId="0">
      <selection activeCell="J21" sqref="J21"/>
    </sheetView>
  </sheetViews>
  <sheetFormatPr defaultRowHeight="14.5" x14ac:dyDescent="0.35"/>
  <cols>
    <col min="1" max="1" width="13.90625" bestFit="1" customWidth="1"/>
    <col min="2" max="2" width="15" bestFit="1" customWidth="1"/>
    <col min="9" max="9" width="9.81640625" bestFit="1" customWidth="1"/>
  </cols>
  <sheetData>
    <row r="3" spans="1:2" x14ac:dyDescent="0.35">
      <c r="A3" s="10" t="s">
        <v>167</v>
      </c>
      <c r="B3" t="s">
        <v>166</v>
      </c>
    </row>
    <row r="4" spans="1:2" x14ac:dyDescent="0.35">
      <c r="A4" s="11" t="s">
        <v>61</v>
      </c>
      <c r="B4" s="3">
        <v>141680.33999999997</v>
      </c>
    </row>
    <row r="5" spans="1:2" x14ac:dyDescent="0.35">
      <c r="A5" s="11" t="s">
        <v>45</v>
      </c>
      <c r="B5" s="3">
        <v>108275.51</v>
      </c>
    </row>
    <row r="6" spans="1:2" x14ac:dyDescent="0.35">
      <c r="A6" s="11" t="s">
        <v>95</v>
      </c>
      <c r="B6" s="3">
        <v>93858.329999999987</v>
      </c>
    </row>
    <row r="7" spans="1:2" x14ac:dyDescent="0.35">
      <c r="A7" s="11" t="s">
        <v>32</v>
      </c>
      <c r="B7" s="3">
        <v>91251.979999999981</v>
      </c>
    </row>
    <row r="8" spans="1:2" x14ac:dyDescent="0.35">
      <c r="A8" s="11" t="s">
        <v>168</v>
      </c>
      <c r="B8" s="3">
        <v>435066.15999999992</v>
      </c>
    </row>
    <row r="26" spans="9:9" x14ac:dyDescent="0.35">
      <c r="I26" s="12">
        <v>116466.16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E908D-519F-4A45-AE37-758232C956C7}">
  <dimension ref="A3:B10"/>
  <sheetViews>
    <sheetView zoomScale="85" zoomScaleNormal="85" workbookViewId="0">
      <selection activeCell="J22" sqref="J22"/>
    </sheetView>
  </sheetViews>
  <sheetFormatPr defaultRowHeight="14.5" x14ac:dyDescent="0.35"/>
  <cols>
    <col min="1" max="1" width="15.90625" bestFit="1" customWidth="1"/>
    <col min="2" max="2" width="14.7265625" bestFit="1" customWidth="1"/>
  </cols>
  <sheetData>
    <row r="3" spans="1:2" x14ac:dyDescent="0.35">
      <c r="A3" s="10" t="s">
        <v>167</v>
      </c>
      <c r="B3" t="s">
        <v>166</v>
      </c>
    </row>
    <row r="4" spans="1:2" x14ac:dyDescent="0.35">
      <c r="A4" s="11" t="s">
        <v>37</v>
      </c>
      <c r="B4" s="3">
        <v>110577.10999999999</v>
      </c>
    </row>
    <row r="5" spans="1:2" x14ac:dyDescent="0.35">
      <c r="A5" s="11" t="s">
        <v>89</v>
      </c>
      <c r="B5" s="3">
        <v>69000</v>
      </c>
    </row>
    <row r="6" spans="1:2" x14ac:dyDescent="0.35">
      <c r="A6" s="11" t="s">
        <v>110</v>
      </c>
      <c r="B6" s="3">
        <v>51541</v>
      </c>
    </row>
    <row r="7" spans="1:2" x14ac:dyDescent="0.35">
      <c r="A7" s="11" t="s">
        <v>134</v>
      </c>
      <c r="B7" s="3">
        <v>33129.600000000006</v>
      </c>
    </row>
    <row r="8" spans="1:2" x14ac:dyDescent="0.35">
      <c r="A8" s="11" t="s">
        <v>39</v>
      </c>
      <c r="B8" s="3">
        <v>27999.5</v>
      </c>
    </row>
    <row r="9" spans="1:2" x14ac:dyDescent="0.35">
      <c r="A9" s="11" t="s">
        <v>124</v>
      </c>
      <c r="B9" s="3">
        <v>25465.599999999999</v>
      </c>
    </row>
    <row r="10" spans="1:2" x14ac:dyDescent="0.35">
      <c r="A10" s="11" t="s">
        <v>168</v>
      </c>
      <c r="B10" s="3">
        <v>317712.81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E608C-5F16-4318-9F46-E05025547048}">
  <dimension ref="A3:B16"/>
  <sheetViews>
    <sheetView zoomScale="66" zoomScaleNormal="66" workbookViewId="0">
      <selection activeCell="R25" sqref="R25"/>
    </sheetView>
  </sheetViews>
  <sheetFormatPr defaultRowHeight="14.5" x14ac:dyDescent="0.35"/>
  <cols>
    <col min="1" max="1" width="13.90625" bestFit="1" customWidth="1"/>
    <col min="2" max="2" width="15" bestFit="1" customWidth="1"/>
  </cols>
  <sheetData>
    <row r="3" spans="1:2" x14ac:dyDescent="0.35">
      <c r="A3" s="10" t="s">
        <v>167</v>
      </c>
      <c r="B3" t="s">
        <v>166</v>
      </c>
    </row>
    <row r="4" spans="1:2" x14ac:dyDescent="0.35">
      <c r="A4" s="13" t="s">
        <v>180</v>
      </c>
      <c r="B4" s="3">
        <v>66642.78</v>
      </c>
    </row>
    <row r="5" spans="1:2" x14ac:dyDescent="0.35">
      <c r="A5" s="13" t="s">
        <v>179</v>
      </c>
      <c r="B5" s="3">
        <v>31773.429999999997</v>
      </c>
    </row>
    <row r="6" spans="1:2" x14ac:dyDescent="0.35">
      <c r="A6" s="13" t="s">
        <v>178</v>
      </c>
      <c r="B6" s="3">
        <v>53033.59</v>
      </c>
    </row>
    <row r="7" spans="1:2" x14ac:dyDescent="0.35">
      <c r="A7" s="13" t="s">
        <v>177</v>
      </c>
      <c r="B7" s="3">
        <v>31949.97</v>
      </c>
    </row>
    <row r="8" spans="1:2" x14ac:dyDescent="0.35">
      <c r="A8" s="13" t="s">
        <v>176</v>
      </c>
      <c r="B8" s="3">
        <v>29921.459999999995</v>
      </c>
    </row>
    <row r="9" spans="1:2" x14ac:dyDescent="0.35">
      <c r="A9" s="13" t="s">
        <v>175</v>
      </c>
      <c r="B9" s="3">
        <v>27318.539999999997</v>
      </c>
    </row>
    <row r="10" spans="1:2" x14ac:dyDescent="0.35">
      <c r="A10" s="13" t="s">
        <v>174</v>
      </c>
      <c r="B10" s="3">
        <v>55601.61</v>
      </c>
    </row>
    <row r="11" spans="1:2" x14ac:dyDescent="0.35">
      <c r="A11" s="13" t="s">
        <v>173</v>
      </c>
      <c r="B11" s="3">
        <v>34307.049999999996</v>
      </c>
    </row>
    <row r="12" spans="1:2" x14ac:dyDescent="0.35">
      <c r="A12" s="13" t="s">
        <v>172</v>
      </c>
      <c r="B12" s="3">
        <v>20771.789999999997</v>
      </c>
    </row>
    <row r="13" spans="1:2" x14ac:dyDescent="0.35">
      <c r="A13" s="13" t="s">
        <v>171</v>
      </c>
      <c r="B13" s="3">
        <v>30852.6</v>
      </c>
    </row>
    <row r="14" spans="1:2" x14ac:dyDescent="0.35">
      <c r="A14" s="13" t="s">
        <v>187</v>
      </c>
      <c r="B14" s="3">
        <v>19985.5</v>
      </c>
    </row>
    <row r="15" spans="1:2" x14ac:dyDescent="0.35">
      <c r="A15" s="13" t="s">
        <v>170</v>
      </c>
      <c r="B15" s="3">
        <v>32907.839999999997</v>
      </c>
    </row>
    <row r="16" spans="1:2" x14ac:dyDescent="0.35">
      <c r="A16" s="13" t="s">
        <v>168</v>
      </c>
      <c r="B16" s="3">
        <v>435066.15999999992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EE864-B9C7-4467-978B-BCF94F8B91D5}">
  <dimension ref="A3:B11"/>
  <sheetViews>
    <sheetView zoomScale="85" zoomScaleNormal="85" workbookViewId="0">
      <selection activeCell="K19" sqref="K19"/>
    </sheetView>
  </sheetViews>
  <sheetFormatPr defaultRowHeight="14.5" x14ac:dyDescent="0.35"/>
  <cols>
    <col min="1" max="1" width="13.1796875" bestFit="1" customWidth="1"/>
    <col min="2" max="2" width="16.08984375" bestFit="1" customWidth="1"/>
  </cols>
  <sheetData>
    <row r="3" spans="1:2" x14ac:dyDescent="0.35">
      <c r="A3" s="10" t="s">
        <v>167</v>
      </c>
      <c r="B3" t="s">
        <v>169</v>
      </c>
    </row>
    <row r="4" spans="1:2" x14ac:dyDescent="0.35">
      <c r="A4" s="14" t="s">
        <v>188</v>
      </c>
      <c r="B4" s="16">
        <v>1</v>
      </c>
    </row>
    <row r="5" spans="1:2" x14ac:dyDescent="0.35">
      <c r="A5" s="14" t="s">
        <v>189</v>
      </c>
      <c r="B5" s="16">
        <v>2</v>
      </c>
    </row>
    <row r="6" spans="1:2" x14ac:dyDescent="0.35">
      <c r="A6" s="14" t="s">
        <v>190</v>
      </c>
      <c r="B6" s="16">
        <v>8</v>
      </c>
    </row>
    <row r="7" spans="1:2" x14ac:dyDescent="0.35">
      <c r="A7" s="14" t="s">
        <v>185</v>
      </c>
      <c r="B7" s="16">
        <v>24</v>
      </c>
    </row>
    <row r="8" spans="1:2" x14ac:dyDescent="0.35">
      <c r="A8" s="14" t="s">
        <v>184</v>
      </c>
      <c r="B8" s="16">
        <v>31</v>
      </c>
    </row>
    <row r="9" spans="1:2" x14ac:dyDescent="0.35">
      <c r="A9" s="14" t="s">
        <v>183</v>
      </c>
      <c r="B9" s="16">
        <v>85</v>
      </c>
    </row>
    <row r="10" spans="1:2" x14ac:dyDescent="0.35">
      <c r="A10" s="14" t="s">
        <v>182</v>
      </c>
      <c r="B10" s="16">
        <v>218</v>
      </c>
    </row>
    <row r="11" spans="1:2" x14ac:dyDescent="0.35">
      <c r="A11" s="14" t="s">
        <v>168</v>
      </c>
      <c r="B11" s="15">
        <v>369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A354D-64BA-41B0-9DCB-1B05080A9AC9}">
  <dimension ref="A2:E16"/>
  <sheetViews>
    <sheetView zoomScale="60" zoomScaleNormal="60" workbookViewId="0">
      <selection activeCell="D2" sqref="D2:E14"/>
    </sheetView>
  </sheetViews>
  <sheetFormatPr defaultRowHeight="14.5" x14ac:dyDescent="0.35"/>
  <cols>
    <col min="1" max="1" width="14" bestFit="1" customWidth="1"/>
    <col min="2" max="2" width="14.6328125" bestFit="1" customWidth="1"/>
    <col min="5" max="5" width="17.08984375" bestFit="1" customWidth="1"/>
  </cols>
  <sheetData>
    <row r="2" spans="1:5" x14ac:dyDescent="0.35">
      <c r="D2" s="17" t="s">
        <v>6</v>
      </c>
      <c r="E2" s="17" t="s">
        <v>186</v>
      </c>
    </row>
    <row r="3" spans="1:5" x14ac:dyDescent="0.35">
      <c r="A3" s="10" t="s">
        <v>167</v>
      </c>
      <c r="B3" t="s">
        <v>166</v>
      </c>
      <c r="D3" s="11" t="s">
        <v>43</v>
      </c>
      <c r="E3" s="3">
        <v>67180.5</v>
      </c>
    </row>
    <row r="4" spans="1:5" x14ac:dyDescent="0.35">
      <c r="A4" s="11" t="s">
        <v>43</v>
      </c>
      <c r="B4" s="3">
        <v>67180.5</v>
      </c>
      <c r="D4" s="11" t="s">
        <v>59</v>
      </c>
      <c r="E4" s="3">
        <v>50208.35</v>
      </c>
    </row>
    <row r="5" spans="1:5" x14ac:dyDescent="0.35">
      <c r="A5" s="11" t="s">
        <v>59</v>
      </c>
      <c r="B5" s="3">
        <v>50208.35</v>
      </c>
      <c r="D5" s="11" t="s">
        <v>116</v>
      </c>
      <c r="E5" s="3">
        <v>50145.330000000009</v>
      </c>
    </row>
    <row r="6" spans="1:5" x14ac:dyDescent="0.35">
      <c r="A6" s="11" t="s">
        <v>116</v>
      </c>
      <c r="B6" s="3">
        <v>50145.330000000009</v>
      </c>
      <c r="D6" s="11" t="s">
        <v>93</v>
      </c>
      <c r="E6" s="3">
        <v>43713</v>
      </c>
    </row>
    <row r="7" spans="1:5" x14ac:dyDescent="0.35">
      <c r="A7" s="11" t="s">
        <v>93</v>
      </c>
      <c r="B7" s="3">
        <v>43713</v>
      </c>
      <c r="D7" s="11" t="s">
        <v>100</v>
      </c>
      <c r="E7" s="3">
        <v>41095.01</v>
      </c>
    </row>
    <row r="8" spans="1:5" x14ac:dyDescent="0.35">
      <c r="A8" s="11" t="s">
        <v>100</v>
      </c>
      <c r="B8" s="3">
        <v>41095.01</v>
      </c>
      <c r="D8" s="11" t="s">
        <v>85</v>
      </c>
      <c r="E8" s="3">
        <v>37428</v>
      </c>
    </row>
    <row r="9" spans="1:5" x14ac:dyDescent="0.35">
      <c r="A9" s="11" t="s">
        <v>85</v>
      </c>
      <c r="B9" s="3">
        <v>37428</v>
      </c>
      <c r="D9" s="11" t="s">
        <v>121</v>
      </c>
      <c r="E9" s="3">
        <v>36839.990000000005</v>
      </c>
    </row>
    <row r="10" spans="1:5" x14ac:dyDescent="0.35">
      <c r="A10" s="11" t="s">
        <v>121</v>
      </c>
      <c r="B10" s="3">
        <v>36839.990000000005</v>
      </c>
      <c r="D10" s="11" t="s">
        <v>128</v>
      </c>
      <c r="E10" s="3">
        <v>32530.6</v>
      </c>
    </row>
    <row r="11" spans="1:5" x14ac:dyDescent="0.35">
      <c r="A11" s="11" t="s">
        <v>128</v>
      </c>
      <c r="B11" s="3">
        <v>32530.6</v>
      </c>
      <c r="D11" s="11" t="s">
        <v>77</v>
      </c>
      <c r="E11" s="3">
        <v>27005.38</v>
      </c>
    </row>
    <row r="12" spans="1:5" x14ac:dyDescent="0.35">
      <c r="A12" s="11" t="s">
        <v>77</v>
      </c>
      <c r="B12" s="3">
        <v>27005.38</v>
      </c>
      <c r="D12" s="11" t="s">
        <v>107</v>
      </c>
      <c r="E12" s="3">
        <v>17204</v>
      </c>
    </row>
    <row r="13" spans="1:5" x14ac:dyDescent="0.35">
      <c r="A13" s="11" t="s">
        <v>107</v>
      </c>
      <c r="B13" s="3">
        <v>17204</v>
      </c>
      <c r="D13" s="11" t="s">
        <v>69</v>
      </c>
      <c r="E13" s="3">
        <v>16350.5</v>
      </c>
    </row>
    <row r="14" spans="1:5" x14ac:dyDescent="0.35">
      <c r="A14" s="11" t="s">
        <v>69</v>
      </c>
      <c r="B14" s="3">
        <v>16350.5</v>
      </c>
      <c r="D14" s="11" t="s">
        <v>29</v>
      </c>
      <c r="E14" s="3">
        <v>15365.5</v>
      </c>
    </row>
    <row r="15" spans="1:5" x14ac:dyDescent="0.35">
      <c r="A15" s="11" t="s">
        <v>29</v>
      </c>
      <c r="B15" s="3">
        <v>15365.5</v>
      </c>
    </row>
    <row r="16" spans="1:5" x14ac:dyDescent="0.35">
      <c r="A16" s="11" t="s">
        <v>168</v>
      </c>
      <c r="B16" s="3">
        <v>435066.16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2331-2BAF-434F-BB92-0E94E755AD00}">
  <dimension ref="A2:E14"/>
  <sheetViews>
    <sheetView zoomScale="70" zoomScaleNormal="70" workbookViewId="0">
      <selection activeCell="M18" sqref="M18"/>
    </sheetView>
  </sheetViews>
  <sheetFormatPr defaultRowHeight="14.5" x14ac:dyDescent="0.35"/>
  <cols>
    <col min="1" max="1" width="13.08984375" bestFit="1" customWidth="1"/>
    <col min="2" max="2" width="14.36328125" bestFit="1" customWidth="1"/>
    <col min="5" max="5" width="17.08984375" bestFit="1" customWidth="1"/>
  </cols>
  <sheetData>
    <row r="2" spans="1:5" x14ac:dyDescent="0.35">
      <c r="D2" s="18"/>
      <c r="E2" s="18"/>
    </row>
    <row r="3" spans="1:5" x14ac:dyDescent="0.35">
      <c r="A3" s="10" t="s">
        <v>167</v>
      </c>
      <c r="B3" t="s">
        <v>166</v>
      </c>
      <c r="D3" s="11"/>
      <c r="E3" s="3"/>
    </row>
    <row r="4" spans="1:5" x14ac:dyDescent="0.35">
      <c r="A4" s="11" t="s">
        <v>42</v>
      </c>
      <c r="B4" s="3">
        <v>67180.5</v>
      </c>
      <c r="D4" s="11"/>
      <c r="E4" s="3"/>
    </row>
    <row r="5" spans="1:5" x14ac:dyDescent="0.35">
      <c r="A5" s="11" t="s">
        <v>58</v>
      </c>
      <c r="B5" s="3">
        <v>50208.35</v>
      </c>
      <c r="D5" s="11"/>
      <c r="E5" s="3"/>
    </row>
    <row r="6" spans="1:5" x14ac:dyDescent="0.35">
      <c r="A6" s="11" t="s">
        <v>115</v>
      </c>
      <c r="B6" s="3">
        <v>50145.330000000009</v>
      </c>
      <c r="D6" s="11"/>
      <c r="E6" s="3"/>
    </row>
    <row r="7" spans="1:5" x14ac:dyDescent="0.35">
      <c r="A7" s="11" t="s">
        <v>92</v>
      </c>
      <c r="B7" s="3">
        <v>43713</v>
      </c>
      <c r="D7" s="11"/>
      <c r="E7" s="3"/>
    </row>
    <row r="8" spans="1:5" x14ac:dyDescent="0.35">
      <c r="A8" s="11" t="s">
        <v>99</v>
      </c>
      <c r="B8" s="3">
        <v>41095.01</v>
      </c>
      <c r="D8" s="11"/>
      <c r="E8" s="3"/>
    </row>
    <row r="9" spans="1:5" x14ac:dyDescent="0.35">
      <c r="A9" s="11" t="s">
        <v>84</v>
      </c>
      <c r="B9" s="3">
        <v>37428</v>
      </c>
      <c r="D9" s="11"/>
      <c r="E9" s="3"/>
    </row>
    <row r="10" spans="1:5" x14ac:dyDescent="0.35">
      <c r="A10" s="11" t="s">
        <v>168</v>
      </c>
      <c r="B10" s="3">
        <v>289770.19</v>
      </c>
      <c r="D10" s="11"/>
      <c r="E10" s="3"/>
    </row>
    <row r="11" spans="1:5" x14ac:dyDescent="0.35">
      <c r="D11" s="11"/>
      <c r="E11" s="3"/>
    </row>
    <row r="12" spans="1:5" x14ac:dyDescent="0.35">
      <c r="D12" s="11"/>
      <c r="E12" s="3"/>
    </row>
    <row r="13" spans="1:5" x14ac:dyDescent="0.35">
      <c r="D13" s="11"/>
      <c r="E13" s="3"/>
    </row>
    <row r="14" spans="1:5" x14ac:dyDescent="0.35">
      <c r="D14" s="11"/>
      <c r="E14" s="3"/>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9C735-0F8E-4FDB-9F6E-0DC39AD11C05}">
  <dimension ref="A2:E14"/>
  <sheetViews>
    <sheetView zoomScale="60" zoomScaleNormal="60" workbookViewId="0">
      <selection activeCell="M17" sqref="M17"/>
    </sheetView>
  </sheetViews>
  <sheetFormatPr defaultRowHeight="14.5" x14ac:dyDescent="0.35"/>
  <cols>
    <col min="1" max="1" width="14" bestFit="1" customWidth="1"/>
    <col min="2" max="2" width="14.6328125" bestFit="1" customWidth="1"/>
    <col min="5" max="5" width="17.08984375" bestFit="1" customWidth="1"/>
  </cols>
  <sheetData>
    <row r="2" spans="1:5" x14ac:dyDescent="0.35">
      <c r="D2" s="18"/>
      <c r="E2" s="18"/>
    </row>
    <row r="3" spans="1:5" x14ac:dyDescent="0.35">
      <c r="A3" s="10" t="s">
        <v>167</v>
      </c>
      <c r="B3" t="s">
        <v>166</v>
      </c>
      <c r="D3" s="11"/>
      <c r="E3" s="3"/>
    </row>
    <row r="4" spans="1:5" x14ac:dyDescent="0.35">
      <c r="A4" s="11" t="s">
        <v>42</v>
      </c>
      <c r="B4" s="3">
        <v>67180.5</v>
      </c>
      <c r="D4" s="11"/>
      <c r="E4" s="3"/>
    </row>
    <row r="5" spans="1:5" x14ac:dyDescent="0.35">
      <c r="A5" s="11" t="s">
        <v>58</v>
      </c>
      <c r="B5" s="3">
        <v>50208.35</v>
      </c>
      <c r="D5" s="11"/>
      <c r="E5" s="3"/>
    </row>
    <row r="6" spans="1:5" x14ac:dyDescent="0.35">
      <c r="A6" s="11" t="s">
        <v>115</v>
      </c>
      <c r="B6" s="3">
        <v>50145.330000000009</v>
      </c>
      <c r="D6" s="11"/>
      <c r="E6" s="3"/>
    </row>
    <row r="7" spans="1:5" x14ac:dyDescent="0.35">
      <c r="A7" s="11" t="s">
        <v>92</v>
      </c>
      <c r="B7" s="3">
        <v>43713</v>
      </c>
      <c r="D7" s="11"/>
      <c r="E7" s="3"/>
    </row>
    <row r="8" spans="1:5" x14ac:dyDescent="0.35">
      <c r="A8" s="11" t="s">
        <v>99</v>
      </c>
      <c r="B8" s="3">
        <v>41095.01</v>
      </c>
      <c r="D8" s="11"/>
      <c r="E8" s="3"/>
    </row>
    <row r="9" spans="1:5" x14ac:dyDescent="0.35">
      <c r="A9" s="11" t="s">
        <v>168</v>
      </c>
      <c r="B9" s="3">
        <v>252342.19000000003</v>
      </c>
      <c r="D9" s="11"/>
      <c r="E9" s="3"/>
    </row>
    <row r="10" spans="1:5" x14ac:dyDescent="0.35">
      <c r="D10" s="11"/>
      <c r="E10" s="3"/>
    </row>
    <row r="11" spans="1:5" x14ac:dyDescent="0.35">
      <c r="D11" s="11"/>
      <c r="E11" s="3"/>
    </row>
    <row r="12" spans="1:5" x14ac:dyDescent="0.35">
      <c r="D12" s="11"/>
      <c r="E12" s="3"/>
    </row>
    <row r="13" spans="1:5" x14ac:dyDescent="0.35">
      <c r="D13" s="11"/>
      <c r="E13" s="3"/>
    </row>
    <row r="14" spans="1:5" x14ac:dyDescent="0.35">
      <c r="D14" s="11"/>
      <c r="E14" s="3"/>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B1DE8-075E-48BD-848E-C43AA5C89E82}">
  <dimension ref="A1"/>
  <sheetViews>
    <sheetView showGridLines="0" tabSelected="1" zoomScale="45" zoomScaleNormal="45" workbookViewId="0">
      <selection activeCell="AE30" sqref="AE30"/>
    </sheetView>
  </sheetViews>
  <sheetFormatPr defaultRowHeight="14.5" x14ac:dyDescent="0.3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920EB-D34A-4435-963D-550A05CC07DE}">
  <dimension ref="A1"/>
  <sheetViews>
    <sheetView showGridLines="0" tabSelected="1" topLeftCell="U1" zoomScale="39" zoomScaleNormal="39" workbookViewId="0">
      <selection activeCell="AE30" sqref="AE30"/>
    </sheetView>
  </sheetViews>
  <sheetFormatPr defaultRowHeight="14.5" x14ac:dyDescent="0.3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B19:C20"/>
  <sheetViews>
    <sheetView showGridLines="0" workbookViewId="0">
      <selection activeCell="M29" sqref="M29"/>
    </sheetView>
  </sheetViews>
  <sheetFormatPr defaultRowHeight="14.5" x14ac:dyDescent="0.35"/>
  <sheetData>
    <row r="19" spans="2:3" x14ac:dyDescent="0.35">
      <c r="B19" s="6" t="s">
        <v>153</v>
      </c>
      <c r="C19" t="s">
        <v>154</v>
      </c>
    </row>
    <row r="20" spans="2:3" x14ac:dyDescent="0.35">
      <c r="B20" s="6" t="s">
        <v>152</v>
      </c>
      <c r="C20" s="5" t="s">
        <v>155</v>
      </c>
    </row>
  </sheetData>
  <hyperlinks>
    <hyperlink ref="C20" r:id="rId1" xr:uid="{00000000-0004-0000-0200-000000000000}"/>
  </hyperlink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78B2C-C96E-405E-9AD9-DD463DAE99AD}">
  <dimension ref="S45"/>
  <sheetViews>
    <sheetView showGridLines="0" tabSelected="1" topLeftCell="K21" zoomScale="81" zoomScaleNormal="81" workbookViewId="0">
      <selection activeCell="AE30" sqref="AE30"/>
    </sheetView>
  </sheetViews>
  <sheetFormatPr defaultRowHeight="14.5" x14ac:dyDescent="0.35"/>
  <cols>
    <col min="1" max="18" width="8.7265625" style="19"/>
    <col min="19" max="19" width="8.7265625" style="19" customWidth="1"/>
    <col min="20" max="24" width="8.7265625" style="19"/>
    <col min="25" max="25" width="8.7265625" style="19" customWidth="1"/>
    <col min="26" max="29" width="8.7265625" style="19"/>
    <col min="30" max="30" width="9.1796875" style="19" customWidth="1"/>
    <col min="31" max="16384" width="8.7265625" style="19"/>
  </cols>
  <sheetData>
    <row r="45" spans="19:19" x14ac:dyDescent="0.35">
      <c r="S45" s="19" t="s">
        <v>191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501D0-4328-4915-B4B5-E1ABDCFFE2C7}">
  <dimension ref="A1"/>
  <sheetViews>
    <sheetView showGridLines="0" tabSelected="1" topLeftCell="F16" zoomScale="78" zoomScaleNormal="78" workbookViewId="0">
      <selection activeCell="AE30" sqref="AE30"/>
    </sheetView>
  </sheetViews>
  <sheetFormatPr defaultRowHeight="14.5" x14ac:dyDescent="0.35"/>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BBAA4-A090-44E1-827A-A2C82B48DF43}">
  <dimension ref="A1"/>
  <sheetViews>
    <sheetView showGridLines="0" tabSelected="1" topLeftCell="A8" zoomScale="62" zoomScaleNormal="62" workbookViewId="0">
      <selection activeCell="AE30" sqref="AE30"/>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Task</vt:lpstr>
      <vt:lpstr>Data (2)</vt:lpstr>
      <vt:lpstr>Top 5 Cities by Revenue</vt:lpstr>
      <vt:lpstr>Top 10 Customers</vt:lpstr>
      <vt:lpstr>Sales_By_Rep</vt:lpstr>
      <vt:lpstr>Sales_By_Regions</vt:lpstr>
      <vt:lpstr>Sales by Product Category</vt:lpstr>
      <vt:lpstr>Sales Trend Report</vt:lpstr>
      <vt:lpstr>Transaction By Amount</vt:lpstr>
      <vt:lpstr>Performance By State</vt:lpstr>
      <vt:lpstr>Top 6 Ship cities by Revenue</vt:lpstr>
      <vt:lpstr>Top Cities By Revenue</vt:lpstr>
      <vt:lpstr>Pre -Analysis Board</vt:lpstr>
      <vt:lpstr>In -Analysis Board</vt:lpstr>
      <vt:lpstr>Pivot Table Diagram</vt:lpstr>
      <vt:lpstr>Dashboard</vt:lpstr>
      <vt:lpstr>Post -Analysis Observation</vt:lpstr>
      <vt:lpstr>Post -Analysis Recommendation</vt:lpstr>
    </vt:vector>
  </TitlesOfParts>
  <Company>Excel Campus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dc:creator>
  <cp:lastModifiedBy>Isau Shittu CM OYO DFB</cp:lastModifiedBy>
  <dcterms:created xsi:type="dcterms:W3CDTF">2015-01-21T18:43:03Z</dcterms:created>
  <dcterms:modified xsi:type="dcterms:W3CDTF">2025-12-04T20:19:39Z</dcterms:modified>
</cp:coreProperties>
</file>